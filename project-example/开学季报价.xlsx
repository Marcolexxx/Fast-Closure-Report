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40" windowHeight="11400" activeTab="1"/>
  </bookViews>
  <sheets>
    <sheet name="填写说明（请仔细查阅！！！）" sheetId="1" r:id="rId1"/>
    <sheet name="汇总页模板" sheetId="2" r:id="rId2"/>
    <sheet name="明细页模板" sheetId="3" r:id="rId3"/>
  </sheets>
  <definedNames>
    <definedName name="_xlnm._FilterDatabase" localSheetId="2">明细页模板!$A$6:$Q$6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<sst xmlns="http://schemas.openxmlformats.org/spreadsheetml/2006/main" count="2382" uniqueCount="449">
  <si>
    <t>序号</t>
  </si>
  <si>
    <t>对应细项</t>
  </si>
  <si>
    <t>填写说明</t>
  </si>
  <si>
    <t>报价单命名</t>
  </si>
  <si>
    <t>项目名称+供应商简称+报价日期+项目总金额</t>
  </si>
  <si>
    <t>报价单提供格式</t>
  </si>
  <si>
    <t>电子表格版+盖章扫描件。
此报价单必须加盖印章（公章、合同专用章、报价专用章，其中优先选择公章）,根据询价单位要求提供盖章扫描件或原件。</t>
  </si>
  <si>
    <t>项目时间</t>
  </si>
  <si>
    <t>需填写已知的项目执行时间</t>
  </si>
  <si>
    <t>报价公司名称</t>
  </si>
  <si>
    <t>需填写供应商全称</t>
  </si>
  <si>
    <t>报价项目</t>
  </si>
  <si>
    <t>需与招采通知的项目名称一致。</t>
  </si>
  <si>
    <t>报价人姓名</t>
  </si>
  <si>
    <t>填写真实提供报价的人员姓名，需与身份证上姓名一致</t>
  </si>
  <si>
    <t>报价人联系电话</t>
  </si>
  <si>
    <t>填写手机号</t>
  </si>
  <si>
    <t>报价人邮箱</t>
  </si>
  <si>
    <t>填写正确邮箱信息，原则上要求使用供应商公司邮箱</t>
  </si>
  <si>
    <t>行数量</t>
  </si>
  <si>
    <t>行数量和信息，可以根据实际情况调整。</t>
  </si>
  <si>
    <t>年框编号</t>
  </si>
  <si>
    <t>非年度供应商不需要填写年框编号。</t>
  </si>
  <si>
    <t>一线&amp;二线城市报价</t>
  </si>
  <si>
    <t>如项目仅为一线或二线城市，按照报价模板进行常规报价即可；
如一个整包项目里包含多城市报价，报名明细页分为一线&amp;二线城市两个表。</t>
  </si>
  <si>
    <t>sku</t>
  </si>
  <si>
    <t>无需罗列全部签约sku价格，根据实际使用sku项进行填写</t>
  </si>
  <si>
    <t>注意！！！
（1）报价严格按照SKU进行提报拆分，SKU号+SKU描述+SKU价格，三个必须严格统一，采购会严格复核。
（2）支付凭证最好为支付/打款记录，虚假凭证一经发现，永久停止合作</t>
  </si>
  <si>
    <t>具体填写说明：“汇总页”以下各部分如果没有，可以在报价单中留白，但是不要删除。</t>
  </si>
  <si>
    <t>指定垫付部分</t>
  </si>
  <si>
    <t>如中途接到需求部门自行指定分包或垫付要求，需要同步告知招采，招采确认推进方式后再进行推进；</t>
  </si>
  <si>
    <t>场地租赁部分</t>
  </si>
  <si>
    <r>
      <rPr>
        <sz val="10"/>
        <color rgb="FF000000"/>
        <rFont val="微软雅黑"/>
        <charset val="134"/>
      </rPr>
      <t>（1）原则上，场地租赁费用等不由供应商垫付。场地公关报批等现金类小额支付，可由</t>
    </r>
    <r>
      <rPr>
        <sz val="10"/>
        <color rgb="FFFF0000"/>
        <rFont val="微软雅黑"/>
        <charset val="134"/>
      </rPr>
      <t>供应商垫付。</t>
    </r>
    <r>
      <rPr>
        <sz val="10"/>
        <color rgb="FF000000"/>
        <rFont val="微软雅黑"/>
        <charset val="134"/>
      </rPr>
      <t xml:space="preserve">
（2）如因特殊情况，经招采确认可由供应商支付，此部分需供应商明确场地名称，具体展会位置/酒店会议厅等、面积、使用时段等信息。</t>
    </r>
  </si>
  <si>
    <t>场地杂项部分</t>
  </si>
  <si>
    <r>
      <rPr>
        <sz val="10"/>
        <color rgb="FF000000"/>
        <rFont val="微软雅黑"/>
        <charset val="134"/>
      </rPr>
      <t>（1）场地相关的水电网、施工证、停车费等，可根据实际项目情况由供应商垫付，</t>
    </r>
    <r>
      <rPr>
        <sz val="10"/>
        <color rgb="FFFF0000"/>
        <rFont val="微软雅黑"/>
        <charset val="134"/>
      </rPr>
      <t>提供相应的凭证。</t>
    </r>
  </si>
  <si>
    <t>搭建物料及人员部分</t>
  </si>
  <si>
    <r>
      <rPr>
        <sz val="10"/>
        <color rgb="FF000000"/>
        <rFont val="微软雅黑"/>
        <charset val="134"/>
      </rPr>
      <t>（1）搭建物料部分明确材质、工艺、尺寸。如报价中计算损耗，需对损耗部分说明。
（2）搭建人工明确进场/撤场时间（以*月*日*点）、以及工时。
（3)  搭建运输：明确车型、距离。</t>
    </r>
    <r>
      <rPr>
        <b/>
        <sz val="10"/>
        <color rgb="FF000000"/>
        <rFont val="微软雅黑"/>
        <charset val="134"/>
      </rPr>
      <t>运输费用：需要提供支付凭证结算，如为搭建物料公司负责，需要提供现场带日期地点水印的车辆照片</t>
    </r>
  </si>
  <si>
    <t>AV设备及人员部分</t>
  </si>
  <si>
    <r>
      <rPr>
        <sz val="10"/>
        <color rgb="FF000000"/>
        <rFont val="微软雅黑"/>
        <charset val="134"/>
      </rPr>
      <t>（1）所有设备具体到最小单位并标明品牌型号。特殊不常用的非年框设备，</t>
    </r>
    <r>
      <rPr>
        <sz val="10"/>
        <color rgb="FFFF0000"/>
        <rFont val="微软雅黑"/>
        <charset val="134"/>
      </rPr>
      <t>需标明用途。</t>
    </r>
    <r>
      <rPr>
        <sz val="10"/>
        <color rgb="FF000000"/>
        <rFont val="微软雅黑"/>
        <charset val="134"/>
      </rPr>
      <t xml:space="preserve">
（2）所有AV相关的人工，明确工种、工时。</t>
    </r>
  </si>
  <si>
    <t>第三方人员部分</t>
  </si>
  <si>
    <r>
      <rPr>
        <sz val="10"/>
        <color rgb="FF000000"/>
        <rFont val="微软雅黑"/>
        <charset val="134"/>
      </rPr>
      <t>（1）兼职、保安、礼仪、模特、演员、摄影、摄像等，工作的人数、时长。
（2）非年框等级的化妆师、搭配师、摄影摄像师、模特、秀导、主持人、</t>
    </r>
    <r>
      <rPr>
        <sz val="10"/>
        <color rgb="FF000000"/>
        <rFont val="微软雅黑"/>
        <charset val="134"/>
      </rPr>
      <t>演员等提供姓名及简介。</t>
    </r>
    <r>
      <rPr>
        <sz val="10"/>
        <color rgb="FFFF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（3） 机票、酒店、交通费等，列明时间、地点、人次、费用（执行京东的项目，国内机票酒店原则上使用京东商旅）</t>
    </r>
  </si>
  <si>
    <t>后勤杂项部分</t>
  </si>
  <si>
    <t>（1）小物料（抽奖箱、水牌、画架、椅背贴、指示牌、桌卡等）、奖杯等明确材质、尺寸。
（2）快递费：京东的项目，原则上使用京东快递。</t>
  </si>
  <si>
    <t>视频部分</t>
  </si>
  <si>
    <r>
      <rPr>
        <sz val="10"/>
        <color rgb="FF000000"/>
        <rFont val="微软雅黑"/>
        <charset val="134"/>
      </rPr>
      <t xml:space="preserve">写清楚视频的片长、大致类型，主要内容等。
</t>
    </r>
    <r>
      <rPr>
        <sz val="10"/>
        <color rgb="FFFF0000"/>
        <rFont val="微软雅黑"/>
        <charset val="134"/>
      </rPr>
      <t>严格按照SKU细项进行报价，框外内容请说明背景原因。</t>
    </r>
  </si>
  <si>
    <t>创意策划执行部分</t>
  </si>
  <si>
    <t>（1）执行人员差旅当地交通：需要提供凭证
（2）执行人员差旅当地餐补：需要提供凭证
（3）执行人员差旅住宿费用：需要提供凭证且严格按照标准进行费用提报，不能超标准！</t>
  </si>
  <si>
    <t>差旅部分</t>
  </si>
  <si>
    <t>原则上使用京东商旅，尤其是国内机票。
如未使用京东商旅，请在项目执行前与采购员确认。（京东人员差旅不允许由供应商支付）</t>
  </si>
  <si>
    <t>展品物流部分</t>
  </si>
  <si>
    <t>（1）车辆租用：需要提供支付凭证结算
（2）运输费用：需要提供支付凭证结算</t>
  </si>
  <si>
    <t>其他部分</t>
  </si>
  <si>
    <t>根据实际情况填写，涉及到第三方的，均需列明详细信息。</t>
  </si>
  <si>
    <t>城市清单</t>
  </si>
  <si>
    <t>一线城市报价挡：4个，北京市，上海市，广州市，深圳市；
二线城市报价挡：45个，成都市，杭州市，武汉市，重庆市，南京市，天津市，苏州市，西安市，长沙市，沈阳市，青岛市，郑州市，大连市，东莞市，宁波市，厦门市，福州市，无锡市，合肥市，昆明市，哈尔滨市，济南市，佛山市，长春市，温州市，石家庄市，南宁市，常州市，泉州市，南昌市，贵阳市，太原市，烟台市，嘉兴市，南通市，金华市，珠海市，惠州市，徐州市，海口市，乌鲁木齐市，绍兴市，中山市，台州市，兰州市</t>
  </si>
  <si>
    <t>报价阶段-投标阶段</t>
  </si>
  <si>
    <t>报价阶段-执行前定标阶段</t>
  </si>
  <si>
    <t>报价阶段-执行后结算阶段</t>
  </si>
  <si>
    <t>图书开学季&amp;9.2超品日</t>
  </si>
  <si>
    <t>2025年8月30-31日</t>
  </si>
  <si>
    <t>成都申逻商务信息咨询有限公司</t>
  </si>
  <si>
    <t>各部分内容</t>
  </si>
  <si>
    <t>描述</t>
  </si>
  <si>
    <t>报价金额</t>
  </si>
  <si>
    <t>备注</t>
  </si>
  <si>
    <t>需求部门指定垫付</t>
  </si>
  <si>
    <t>场地租赁</t>
  </si>
  <si>
    <t>包含报批、安保、网络、水电等</t>
  </si>
  <si>
    <t>包含搭建制作物料、力工、水工、电工等</t>
  </si>
  <si>
    <t>包含视频、灯光、音频相关设备及配套人员等</t>
  </si>
  <si>
    <t>包含主持人、礼仪、保安、摄影摄像等</t>
  </si>
  <si>
    <t>包含小物料等</t>
  </si>
  <si>
    <t>包含视频制作剪辑等</t>
  </si>
  <si>
    <t>包含主视觉涉及、延展、执行人员费用等</t>
  </si>
  <si>
    <t>包含执行人员差旅等</t>
  </si>
  <si>
    <t>包含供应商安排车辆进行展品运输等</t>
  </si>
  <si>
    <t>小计(一线城市)</t>
  </si>
  <si>
    <t>包含北京、上海、广州、深圳</t>
  </si>
  <si>
    <t>小计(二线城市)</t>
  </si>
  <si>
    <t>一线城市报价*90%</t>
  </si>
  <si>
    <t>包含约定的45个二线城市</t>
  </si>
  <si>
    <t>服务费</t>
  </si>
  <si>
    <t>税费</t>
  </si>
  <si>
    <t>总价</t>
  </si>
  <si>
    <t>优惠价</t>
  </si>
  <si>
    <t>优惠后按照104,000元结算</t>
  </si>
  <si>
    <t>变更小结</t>
  </si>
  <si>
    <t>执行前定标价格 vs. 投标阶段预中标价格</t>
  </si>
  <si>
    <t>执行后结算价格 vs. 执行前定标价格</t>
  </si>
  <si>
    <t>新增需求内容</t>
  </si>
  <si>
    <t>取消需求内容</t>
  </si>
  <si>
    <t>变更需求内容-导致费用增加</t>
  </si>
  <si>
    <t>变更需求内容-导致费用减少</t>
  </si>
  <si>
    <t>京东图书开学季</t>
  </si>
  <si>
    <t>王茜</t>
  </si>
  <si>
    <t>shirly.wang@sensel.team</t>
  </si>
  <si>
    <t>具体报价内容</t>
  </si>
  <si>
    <t>项目分项</t>
  </si>
  <si>
    <r>
      <rPr>
        <b/>
        <sz val="12"/>
        <color rgb="FF000000"/>
        <rFont val="微软雅黑"/>
        <charset val="134"/>
      </rPr>
      <t xml:space="preserve">年框编号
</t>
    </r>
    <r>
      <rPr>
        <b/>
        <i/>
        <sz val="10"/>
        <color rgb="FF000000"/>
        <rFont val="微软雅黑"/>
        <charset val="134"/>
      </rPr>
      <t>*非框则为空</t>
    </r>
  </si>
  <si>
    <t>项目明细</t>
  </si>
  <si>
    <t>具体明细（工艺/内容/规格）</t>
  </si>
  <si>
    <t>数量</t>
  </si>
  <si>
    <t>数量单位</t>
  </si>
  <si>
    <t>时间</t>
  </si>
  <si>
    <t>时间单位</t>
  </si>
  <si>
    <t>单价</t>
  </si>
  <si>
    <t>金额</t>
  </si>
  <si>
    <r>
      <rPr>
        <b/>
        <sz val="12"/>
        <color rgb="FFFF0000"/>
        <rFont val="微软雅黑"/>
        <charset val="134"/>
      </rPr>
      <t xml:space="preserve">备注
</t>
    </r>
    <r>
      <rPr>
        <b/>
        <i/>
        <sz val="12"/>
        <color rgb="FFFF0000"/>
        <rFont val="微软雅黑"/>
        <charset val="134"/>
      </rPr>
      <t>如有垫付或者要求提供凭证项，备注”提供凭证实报实销“</t>
    </r>
  </si>
  <si>
    <t>变更金额</t>
  </si>
  <si>
    <t>变更状态</t>
  </si>
  <si>
    <t>变更说明</t>
  </si>
  <si>
    <t>备注
如有垫付或者要求提供凭证项，备注”提供凭证实报实销“</t>
  </si>
  <si>
    <r>
      <rPr>
        <b/>
        <sz val="14"/>
        <color rgb="FFFF0000"/>
        <rFont val="微软雅黑"/>
        <charset val="134"/>
      </rPr>
      <t>备注</t>
    </r>
    <r>
      <rPr>
        <b/>
        <sz val="12"/>
        <color rgb="FFFF0000"/>
        <rFont val="微软雅黑"/>
        <charset val="134"/>
      </rPr>
      <t xml:space="preserve">
如有垫付或者要求提供凭证，请按照顺利整理相关凭证并编号，下方对应注明；凭证整体打包压缩后发送提供；
示例：凭证1-礼品购买XXX元
示例：凭证2-场地垫付XXX元</t>
    </r>
  </si>
  <si>
    <t>。。。</t>
  </si>
  <si>
    <t>指定垫付部分小计</t>
  </si>
  <si>
    <t>\</t>
  </si>
  <si>
    <t>场地租赁部分小计</t>
  </si>
  <si>
    <t>场地电费支出</t>
  </si>
  <si>
    <t>场地电费，1元/度</t>
  </si>
  <si>
    <t>项</t>
  </si>
  <si>
    <t>天</t>
  </si>
  <si>
    <t>场地电费，据实结算</t>
  </si>
  <si>
    <t>场地保险费用</t>
  </si>
  <si>
    <t>保险采买</t>
  </si>
  <si>
    <t>凭证12</t>
  </si>
  <si>
    <t>保险费用预留，据实结算</t>
  </si>
  <si>
    <t>提供凭证实报实销</t>
  </si>
  <si>
    <t>场地安评报告</t>
  </si>
  <si>
    <t>场地安评报告提供</t>
  </si>
  <si>
    <t>场地报备安评报告费用</t>
  </si>
  <si>
    <t>场地杂项部分小计</t>
  </si>
  <si>
    <t>点位地贴</t>
  </si>
  <si>
    <t>JT0807010250026</t>
  </si>
  <si>
    <t>搭建部分-写真喷绘</t>
  </si>
  <si>
    <t>搭建部分-写真喷绘 高清画面地贴 黑底带背胶表面覆地膜，1.5m宽幅，130g高精度喷印/裱亚膜 制作</t>
  </si>
  <si>
    <t>平方米</t>
  </si>
  <si>
    <t>主dp-结构</t>
  </si>
  <si>
    <t>JT0807010100009</t>
  </si>
  <si>
    <t>搭建部分-背景结构</t>
  </si>
  <si>
    <t>搭建部分-背景结构 木质背板 异形单面木质背景板/木结构，表面防火板，正面裱写真，含支撑及画面 制作</t>
  </si>
  <si>
    <t>JT0807010250023</t>
  </si>
  <si>
    <t>搭建部分-写真喷绘 斜纹地贴 常规规格 制作</t>
  </si>
  <si>
    <t>地贴尺寸:12*10=120㎡</t>
  </si>
  <si>
    <t>设计定稿后更新材质及尺寸</t>
  </si>
  <si>
    <t>主dp-装饰画面</t>
  </si>
  <si>
    <t>JT0807010250017</t>
  </si>
  <si>
    <t>搭建部分-写真喷绘 写真喷绘 PVC板/裱高清,5MM板，含覆膜/常规规格 制作</t>
  </si>
  <si>
    <t>JT0807010100010</t>
  </si>
  <si>
    <t>搭建部分-背景结构 木质背板 双面木质涂料背板/木结构，表面刷涂料，含支撑 制作</t>
  </si>
  <si>
    <t>设计未定，尺寸预估；2*(4.2*2.5+2.5*1.2+4.2*1.2)=38.58㎡,
书本左上结构做热弯工艺,尺寸及耗材会增加,合计为48㎡</t>
  </si>
  <si>
    <t>大地贴：尺寸 长12.69m 宽9.52
面积计算：12.69*9.52=120.81m²；
小地贴：尺寸 长2m 宽2m
2*2=4m，小计124.81m²</t>
  </si>
  <si>
    <t>主dp-支撑</t>
  </si>
  <si>
    <t>JT0807010190017</t>
  </si>
  <si>
    <t>搭建部分-基础结构</t>
  </si>
  <si>
    <t>搭建部分-基础结构 钢结构 30*30方钢 制作</t>
  </si>
  <si>
    <t>米</t>
  </si>
  <si>
    <t>主dp-画面</t>
  </si>
  <si>
    <t>JT0807010250006</t>
  </si>
  <si>
    <t>搭建部分-写真喷绘 写真喷绘 进口3M车贴 /常规规格 制作</t>
  </si>
  <si>
    <t>设计未定，尺寸预估；2(4.2*2.5+2.5*1+4.2*1)=35㎡</t>
  </si>
  <si>
    <t>主dp-底座结构</t>
  </si>
  <si>
    <t>JT0807010100006</t>
  </si>
  <si>
    <t>搭建部分-背景结构 木质背板 异形单面木质涂料背板/木结构，表面刷涂料，含支撑 制作</t>
  </si>
  <si>
    <t>装饰雪弗板画面</t>
  </si>
  <si>
    <t xml:space="preserve">左侧书页：宽2.01m 高2.5m 厚度0.33m
面积计算：2×(0.6633+0.825+5.025)=13.03m²
右侧书页：宽2.07m 高2.5m 厚度0.33m
面积计算：2×(0.6831+0.825+5.175)=13.37m²
小计：13.03+13.37=26.4m²
</t>
  </si>
  <si>
    <t>主dp-底座画面</t>
  </si>
  <si>
    <t>钢结构支撑:3(4.2+2.5)=20.1m</t>
  </si>
  <si>
    <t>互动点位1-大结构</t>
  </si>
  <si>
    <t>设计未定，尺寸预估，2(2*1+1*0.2+2*0.2)=5.2㎡</t>
  </si>
  <si>
    <t>互动点位1-导台结构</t>
  </si>
  <si>
    <t>JT0807010100017</t>
  </si>
  <si>
    <t>搭建部分-背景结构 木质背板 单面木质背板/木结构 表面防火板，正面裱写真，含支撑及画面 制作</t>
  </si>
  <si>
    <t>设计未定，尺寸预估</t>
  </si>
  <si>
    <t>横杆2.2m*2+竖杆2.51m*2=9.42m</t>
  </si>
  <si>
    <t>互动点位1-装饰结构</t>
  </si>
  <si>
    <t>互动点位1-结构</t>
  </si>
  <si>
    <t>2*(4.5*2.5+2.5*0.8+4.5*0.8)=33.7㎡</t>
  </si>
  <si>
    <t>互动点位1-pvc画面</t>
  </si>
  <si>
    <t>互动点位1-画面</t>
  </si>
  <si>
    <t>尺寸:长2m 宽2m 高度0.1m
面积计算：2(2.2*2.2+2.2*0.1+2.2*0.1)=10.56㎡</t>
  </si>
  <si>
    <t>互动点位1-立体字</t>
  </si>
  <si>
    <t>JT0807010210013</t>
  </si>
  <si>
    <t>搭建部分-立体字</t>
  </si>
  <si>
    <t>搭建部分-立体字 PVC立体字 常规材质/厚5MM ，高度300MM-600MM以内 制作</t>
  </si>
  <si>
    <t>延米</t>
  </si>
  <si>
    <t>互动点位1-导台画面</t>
  </si>
  <si>
    <t>导台画面</t>
  </si>
  <si>
    <t>互动点位2-结构</t>
  </si>
  <si>
    <t>导台结构</t>
  </si>
  <si>
    <t>互动点位2-屋檐结构</t>
  </si>
  <si>
    <t>互动点位1-导台支撑</t>
  </si>
  <si>
    <t>支撑4*2+2=10m</t>
  </si>
  <si>
    <t>尺寸：3.5m宽  1.9m高  厚度0.2m
面积计算：2×(6.65+0.38+0.7)=15.46m²</t>
  </si>
  <si>
    <t>互动点位2-互动导台</t>
  </si>
  <si>
    <t>JT0807010270004</t>
  </si>
  <si>
    <t>搭建部分-制作物</t>
  </si>
  <si>
    <t>搭建部分-制作物 展台/接待台 木结构防火板或裱画面, 弧形 ,做门带锁/ 规格高1m以下, 径深60cm以内 制作</t>
  </si>
  <si>
    <t>互动点位1-装饰画面</t>
  </si>
  <si>
    <t>互动点位2-装饰pvc</t>
  </si>
  <si>
    <t>互动点位1-pvc立体字</t>
  </si>
  <si>
    <t>JT0807010210015</t>
  </si>
  <si>
    <t>搭建部分-立体字 PVC立体字 常规材质/厚3MM ，高度300MM-600MM以内 制作</t>
  </si>
  <si>
    <t>pvc立体字</t>
  </si>
  <si>
    <t>互动点位2-京东图书立体字</t>
  </si>
  <si>
    <t>互动点位2-背板结构</t>
  </si>
  <si>
    <t>设计未定，尺寸预估；2*(5*2.3+2.3*0.8+0.8*5)=30.68㎡，预估损耗共计35㎡</t>
  </si>
  <si>
    <t>横面板尺寸：长3.3m  宽 1.9m高  厚度0.08m
面积计算：2×(6.27+0.264+0.152)=13.72
竖板尺寸：高0.82m 宽0.4m 厚度0.07m 3组 
2×(0.328+0.0574+0.028）=0.83*3=2.49m² ，
总计：16.21m²</t>
  </si>
  <si>
    <t>书适圈点位-画面</t>
  </si>
  <si>
    <t>互动点位2-背板画面</t>
  </si>
  <si>
    <t>2*(5*2.3+2.3*0.8+0.8*5)=30.68㎡，预估损耗共计35㎡</t>
  </si>
  <si>
    <t>书适圈点位-支撑</t>
  </si>
  <si>
    <t>互动点位2-背板支撑</t>
  </si>
  <si>
    <t>5*2+2.3*2=14.6m</t>
  </si>
  <si>
    <t>尺寸:高1.9m 宽1.85m 厚度0.3m
2×(3.515+0.57+0.555)=9.28m²</t>
  </si>
  <si>
    <t>书适圈点位-配重</t>
  </si>
  <si>
    <t>2*(2*1+1*0.5+2*0.5)=7㎡,该结构正反两面中间需要加固处理,合计为10㎡</t>
  </si>
  <si>
    <t>尺寸:1.2*0.43+0.88*0.64+0.61*0.67=1.49㎡</t>
  </si>
  <si>
    <t>入口处-结构</t>
  </si>
  <si>
    <t>互动点位2-屋檐画面</t>
  </si>
  <si>
    <t>立体字尺寸:1.8m</t>
  </si>
  <si>
    <t>入口处-互动导台</t>
  </si>
  <si>
    <t>JT0807010270006</t>
  </si>
  <si>
    <t>搭建部分-制作物 展台/接待台 木结构防火板或裱画面 ,高低柜形, 做门带锁/规格 高1m以下, 径深60cm以内 制作</t>
  </si>
  <si>
    <t>互动导台长1.2m，预估损耗2.2m</t>
  </si>
  <si>
    <t>氛围物料-镜子结构+画面</t>
  </si>
  <si>
    <t>互动点位2-导台底部结构</t>
  </si>
  <si>
    <t>2*(2.2*2.2+2.2*0.1+2.2*0.1)=10.56㎡</t>
  </si>
  <si>
    <t>尺寸：宽3.4m 高2.7m 厚0.5m
面积计算：2(3.4*2.7+3.4*0.5+2.7*0.5)=24.26㎡</t>
  </si>
  <si>
    <t>氛围物料-镜子底座结构</t>
  </si>
  <si>
    <t>互动点位2-导台底部画面</t>
  </si>
  <si>
    <t>互动点位2-画面</t>
  </si>
  <si>
    <t>氛围物料-灯管喷漆</t>
  </si>
  <si>
    <t>JT0807010190008</t>
  </si>
  <si>
    <t>搭建部分-基础结构 喷漆 三层喷漆，金属漆 制作</t>
  </si>
  <si>
    <t>套</t>
  </si>
  <si>
    <t>互动点位2-装饰画面</t>
  </si>
  <si>
    <t>装饰互动雪弗板</t>
  </si>
  <si>
    <t>氛围物料-灯管结构</t>
  </si>
  <si>
    <t>互动点位2-书单报纸</t>
  </si>
  <si>
    <t>JT0807010250014</t>
  </si>
  <si>
    <t>搭建部分-写真喷绘 写真喷绘 背胶相纸/含覆膜/常规规格 制作</t>
  </si>
  <si>
    <t>报纸定制，尺寸预估；0.45*0.2*100*6=54㎡</t>
  </si>
  <si>
    <t>玩法路牌喷漆</t>
  </si>
  <si>
    <t>互动点位京东图书立体字</t>
  </si>
  <si>
    <t>JT0807010120026</t>
  </si>
  <si>
    <t>搭建部分-灯带</t>
  </si>
  <si>
    <t>搭建部分-灯带 无边发光字 侧边铝边，无边发光字，正面发光 制作</t>
  </si>
  <si>
    <t>立体字露出</t>
  </si>
  <si>
    <t>尺寸：长2.5m 宽1.15*2 厚度0.1m
2(2.5*0.1+2.5*2.3+2.3*0.1)=12.46㎡</t>
  </si>
  <si>
    <t>玩法路牌底座配重</t>
  </si>
  <si>
    <t xml:space="preserve">搭建制作-制作-钢结构-结构钢板配重-Q215钢板，切割焊接，厚度10mm </t>
  </si>
  <si>
    <t>组</t>
  </si>
  <si>
    <t>京东图书点位装饰画面</t>
  </si>
  <si>
    <t>装饰雪弗板</t>
  </si>
  <si>
    <t>弧形展开尺寸2.2m</t>
  </si>
  <si>
    <t>玩法路牌支撑</t>
  </si>
  <si>
    <t>入口处书架结构</t>
  </si>
  <si>
    <t>2*(1.7*2+2*0.5+1.7*0.5)=10.5㎡</t>
  </si>
  <si>
    <t>1.26*1.62+1.3*0.37=2.52㎡</t>
  </si>
  <si>
    <t>玩法路牌画面</t>
  </si>
  <si>
    <t>入口处书架画面</t>
  </si>
  <si>
    <t>手持kt</t>
  </si>
  <si>
    <t>JT0807010250019</t>
  </si>
  <si>
    <t>搭建部分-写真喷绘 写真喷绘 KT板裱高清/含覆膜/常规规格 制作</t>
  </si>
  <si>
    <t>入口处书架支撑</t>
  </si>
  <si>
    <t>1.7*2+2*2=7.4m</t>
  </si>
  <si>
    <t>互动点位2-立体字</t>
  </si>
  <si>
    <t>搭建工人</t>
  </si>
  <si>
    <t>JT0807010230005</t>
  </si>
  <si>
    <t>搭建部分-人工费用</t>
  </si>
  <si>
    <t>搭建部分-人工费用 搭建人工 力工/常规服务要求</t>
  </si>
  <si>
    <t>人/天</t>
  </si>
  <si>
    <t>入口处装饰画面</t>
  </si>
  <si>
    <t>1.63*正反2组</t>
  </si>
  <si>
    <t>搭建电工</t>
  </si>
  <si>
    <t>JT0807010230006</t>
  </si>
  <si>
    <t>搭建部分-人工费用 搭建人工 电工/常规服务要求</t>
  </si>
  <si>
    <t>入口互动导台</t>
  </si>
  <si>
    <t>互动导台长1.2m</t>
  </si>
  <si>
    <t>1.21*1.75*2（双层）=2.11*2-=4.22㎡</t>
  </si>
  <si>
    <t>搭建美工</t>
  </si>
  <si>
    <t>JT0807010230004</t>
  </si>
  <si>
    <t>搭建部分-人工费用 搭建人工 美工/常规服务要求</t>
  </si>
  <si>
    <t>氛围物料-镜子结构</t>
  </si>
  <si>
    <t>2*(2.2*2.2+2.2*0.1+2.2*0.1)=9.84㎡，预估含损耗10㎡</t>
  </si>
  <si>
    <t>尺寸:1.75+0.8+0.5=3.05m</t>
  </si>
  <si>
    <t>撤场工人</t>
  </si>
  <si>
    <t>氛围物料-镜子画面</t>
  </si>
  <si>
    <t>尺寸:2(0.7*0.5+0.5*0.3+0.3*0.7)=1.42㎡</t>
  </si>
  <si>
    <t>pp夹折页背卡定制</t>
  </si>
  <si>
    <t>pp夹折页背卡定制,300g,白卡纸,压褶痕</t>
  </si>
  <si>
    <t>氛围物料-镜子</t>
  </si>
  <si>
    <t>JT0807010190031</t>
  </si>
  <si>
    <t>搭建部分-基础结构 钢化玻璃 8mm厚刚面玻璃 制作</t>
  </si>
  <si>
    <t>设计未定，尺寸预估1.2*2.5=3㎡</t>
  </si>
  <si>
    <t>盲盒诗歌卡片定制</t>
  </si>
  <si>
    <t>异形盲盒诗歌卡片定制,300g白卡纸,覆哑膜</t>
  </si>
  <si>
    <t>页</t>
  </si>
  <si>
    <t>设计未定，尺寸待定；2*(2.5*2.2+2.5*0.1+2.2*0.1)=11.94㎡</t>
  </si>
  <si>
    <t>入口处-画面</t>
  </si>
  <si>
    <t>尺寸:2(1.3*2+1.3*0.35+2*0.36)=7.58㎡</t>
  </si>
  <si>
    <t>书单推荐卡片定制</t>
  </si>
  <si>
    <t>异形书单推荐卡片定制,300g白卡纸,覆哑膜</t>
  </si>
  <si>
    <t>氛围物料-镜子底座画面</t>
  </si>
  <si>
    <t>尺寸：宽1.3m 高2m 厚度0.36m
2×(2.6+0.72+0.468)=7.58m²
隔板：1.3m*0.2m （内嵌安装）厚度0.02m *4组
2×(0.26+0.026+0.004)=0.58*4=2.32m²，小计9.9m²</t>
  </si>
  <si>
    <t>一米栏</t>
  </si>
  <si>
    <t>JT0807010180004</t>
  </si>
  <si>
    <t>搭建部分-防护用品</t>
  </si>
  <si>
    <t>搭建部分-防护用品 围档 可伸缩1米栏/常规规格 租赁</t>
  </si>
  <si>
    <t>个</t>
  </si>
  <si>
    <t>设计未定，费用预留</t>
  </si>
  <si>
    <t>入口处-书架结构</t>
  </si>
  <si>
    <t>驻场工人</t>
  </si>
  <si>
    <t>JT0807010100005</t>
  </si>
  <si>
    <t>搭建部分-背景结构 木质背板 异形双面木质背板/木结构 表面防火板 正背面裱写真 含支撑及画面 制作</t>
  </si>
  <si>
    <t>搭建物料及人员部分小计</t>
  </si>
  <si>
    <t>云相册直播</t>
  </si>
  <si>
    <t>JT0807010010008</t>
  </si>
  <si>
    <t>AV部分-人工</t>
  </si>
  <si>
    <t>AV部分-人工 第三方人员及服务 图片直播</t>
  </si>
  <si>
    <t>1.2延米</t>
  </si>
  <si>
    <t>AV设备及人员部分小计</t>
  </si>
  <si>
    <t>活动运营-兼职</t>
  </si>
  <si>
    <t>JT0807010280025</t>
  </si>
  <si>
    <t>第三方人员及服务</t>
  </si>
  <si>
    <t>第三方人员及服务 兼职 常规人员要求/10小时工作时间,含面试</t>
  </si>
  <si>
    <t>周边打包兼职</t>
  </si>
  <si>
    <t>左侧单程结构：宽0.86m 高1.8m 厚0.2m
2×(1.548+0.36+0.172)=4.16m²
右侧双层结构：宽0.68 高1.8m 厚0.2m *2双层
2×(1.224+0.36+0.136)=3.44m²*2=6.88m²
小计：11.04m²</t>
  </si>
  <si>
    <t>保洁</t>
  </si>
  <si>
    <t>JT0807010280038</t>
  </si>
  <si>
    <t>第三方人员及服务 保洁 常规人员要求/现场保洁</t>
  </si>
  <si>
    <t>安保</t>
  </si>
  <si>
    <t>JT0807010280039</t>
  </si>
  <si>
    <t>第三方人员及服务 保安人员 常规人员要求/现场安全及维持秩序</t>
  </si>
  <si>
    <t>一米栏租赁</t>
  </si>
  <si>
    <t>活动场地一米栏租赁</t>
  </si>
  <si>
    <t>摄影师</t>
  </si>
  <si>
    <t>JT0807010280019</t>
  </si>
  <si>
    <t>第三方人员及服务 摄影师 常规人员要求/活动全程跟拍 ,含机器</t>
  </si>
  <si>
    <t>搭建时间为22:00-次日08:00,夜班10h,因通宵搭建工人时长为2天</t>
  </si>
  <si>
    <t>尺寸:2(1.8*1.31+1.8*0.2+1.31*0.2)=5.96㎡</t>
  </si>
  <si>
    <t>搭建运输-进场车辆</t>
  </si>
  <si>
    <t>JT0807010280043</t>
  </si>
  <si>
    <t>第三方人员及服务 市内运输 6米厢式货车/常规服务要求</t>
  </si>
  <si>
    <t>次</t>
  </si>
  <si>
    <t>辆</t>
  </si>
  <si>
    <t>凭证14</t>
  </si>
  <si>
    <t>JT0807010280040</t>
  </si>
  <si>
    <t>第三方人员及服务 市内运输 金杯车/常规服务要求</t>
  </si>
  <si>
    <t>尺寸：2.52+0.81=3.32m</t>
  </si>
  <si>
    <t>搭建运输-撤场车辆</t>
  </si>
  <si>
    <t>凭证15</t>
  </si>
  <si>
    <t>三轮平板车运输</t>
  </si>
  <si>
    <t>0.6*3组</t>
  </si>
  <si>
    <t>第三方人员部分小计</t>
  </si>
  <si>
    <t>折叠反光定制</t>
  </si>
  <si>
    <t>直径20cm,涤纶+定制手柄+定制包装袋</t>
  </si>
  <si>
    <t>凭证13</t>
  </si>
  <si>
    <t>牛皮杜邦纸袋定制</t>
  </si>
  <si>
    <t>加急制作,35*40*10牛皮杜邦纸袋,有底无侧,牛皮光滑杜邦材质</t>
  </si>
  <si>
    <t>主会场-灯光</t>
  </si>
  <si>
    <t>JT0807010020004</t>
  </si>
  <si>
    <t>AV设备部分-灯光</t>
  </si>
  <si>
    <t>AV设备部分-灯光 灯光架 Truss架 /规格400MM*400MM 租赁</t>
  </si>
  <si>
    <t>硫酸书签</t>
  </si>
  <si>
    <t>15*6白卡+四色硫酸纸书签</t>
  </si>
  <si>
    <t>JT0807010020044</t>
  </si>
  <si>
    <t>AV设备部分-灯光 AV设备部分-灯光 基础舞台灯光-电脑摇头切割灯 租赁</t>
  </si>
  <si>
    <t>硫酸信封</t>
  </si>
  <si>
    <t>信封采购</t>
  </si>
  <si>
    <t>JT0807010020046</t>
  </si>
  <si>
    <t>AV设备部分-灯光 AV设备部分-灯光 基础舞台灯光-摇头LED Par灯 租赁</t>
  </si>
  <si>
    <t>印章定制</t>
  </si>
  <si>
    <t>火漆印定制,含开模</t>
  </si>
  <si>
    <t>主会场-技术人员</t>
  </si>
  <si>
    <t>JT0807010010005</t>
  </si>
  <si>
    <t>AV部分-人工 灯光技术人员 国内 /含餐补</t>
  </si>
  <si>
    <t>pp夹定制</t>
  </si>
  <si>
    <t>亚克力pp夹,400个,直径5cm+4cm</t>
  </si>
  <si>
    <t>opp袋</t>
  </si>
  <si>
    <t>亚克力置物架</t>
  </si>
  <si>
    <t>6人兼职，2天</t>
  </si>
  <si>
    <t>诗歌词条</t>
  </si>
  <si>
    <t>盲盒诗歌词条采买</t>
  </si>
  <si>
    <t>凭证6</t>
  </si>
  <si>
    <t>防雨物料</t>
  </si>
  <si>
    <t>现场防雨物料(雨衣、雨布、雨伞等)</t>
  </si>
  <si>
    <t>凭证10</t>
  </si>
  <si>
    <t>遮阳伞采购</t>
  </si>
  <si>
    <t>凭证8</t>
  </si>
  <si>
    <t>防暑药物采购</t>
  </si>
  <si>
    <t>藿香正气水采购</t>
  </si>
  <si>
    <t>凭证9</t>
  </si>
  <si>
    <t>现场搭建物料</t>
  </si>
  <si>
    <t>现场小物料采买</t>
  </si>
  <si>
    <t>凭证11</t>
  </si>
  <si>
    <t>搭建运输</t>
  </si>
  <si>
    <t>进撤场车辆</t>
  </si>
  <si>
    <t>现场书写物料</t>
  </si>
  <si>
    <t>现场书写物料采买(亚克力架子、签字笔、胶带、胶棒等)</t>
  </si>
  <si>
    <t>凭证7</t>
  </si>
  <si>
    <t>后勤部分小计</t>
  </si>
  <si>
    <t>视频部分小计</t>
  </si>
  <si>
    <t>JT0807010090007</t>
  </si>
  <si>
    <t>创意策划执行</t>
  </si>
  <si>
    <t>创意策划执行 设计人员（平面） 主视觉设计 平面延展设计等</t>
  </si>
  <si>
    <t>个项目</t>
  </si>
  <si>
    <t>JT0807010090008</t>
  </si>
  <si>
    <t>创意策划执行 设计人员（3D） 3D效果图设计</t>
  </si>
  <si>
    <t>执行人员餐饮</t>
  </si>
  <si>
    <t>JT0807010090002</t>
  </si>
  <si>
    <t>创意策划执行 执行人员餐补 当地餐补 每日2餐 每餐上限为30元</t>
  </si>
  <si>
    <t>餐</t>
  </si>
  <si>
    <t>凭证2</t>
  </si>
  <si>
    <t>JT0807010090009</t>
  </si>
  <si>
    <t>创意策划执行 策划人员 包括创意方案 现场AV布置 展示搭建 会议流程控制等creative 服务内容</t>
  </si>
  <si>
    <t>三人每天两餐</t>
  </si>
  <si>
    <t>执行人员住宿</t>
  </si>
  <si>
    <t>JT0807010090005</t>
  </si>
  <si>
    <t>创意策划执行 执行人员住宿 异地住宿  二线城市上限</t>
  </si>
  <si>
    <t>间/晚</t>
  </si>
  <si>
    <t>凭证1</t>
  </si>
  <si>
    <t>两间，3天，29、30</t>
  </si>
  <si>
    <t>执行人员交通</t>
  </si>
  <si>
    <t>JT0807010090001</t>
  </si>
  <si>
    <t>创意策划执行 执行人员市内交通 凭票报销</t>
  </si>
  <si>
    <t>凭证3</t>
  </si>
  <si>
    <t>三人四天</t>
  </si>
  <si>
    <t>创意策划执行部分小计</t>
  </si>
  <si>
    <t>执行人员机票</t>
  </si>
  <si>
    <t>执行人员机票两人往返</t>
  </si>
  <si>
    <t>趟</t>
  </si>
  <si>
    <t>凭证4</t>
  </si>
  <si>
    <t>三人，来回两趟</t>
  </si>
  <si>
    <t>差旅部分小计</t>
  </si>
  <si>
    <t>周边运输快递费用预留</t>
  </si>
  <si>
    <t>凭证5</t>
  </si>
  <si>
    <t>快递费用预留</t>
  </si>
  <si>
    <t>展品物流部分小计</t>
  </si>
  <si>
    <t>其他部分小计</t>
  </si>
  <si>
    <t>所有项合计(一线城市)</t>
  </si>
  <si>
    <t>所有项合计(二线城市)</t>
  </si>
  <si>
    <t>按照104,000元结算</t>
  </si>
  <si>
    <t>亚克力置物架购买，以实际购买为准，据实结算</t>
  </si>
  <si>
    <r>
      <rPr>
        <b/>
        <sz val="12"/>
        <color rgb="FF000000"/>
        <rFont val="微软雅黑"/>
        <charset val="134"/>
      </rPr>
      <t>1、发票开具：</t>
    </r>
    <r>
      <rPr>
        <b/>
        <sz val="12"/>
        <color rgb="FFFF0000"/>
        <rFont val="微软雅黑"/>
        <charset val="134"/>
      </rPr>
      <t>可以开具的发票类型【    增值税专用发票  】；发票票面的税率【 6% 】；</t>
    </r>
    <r>
      <rPr>
        <b/>
        <sz val="12"/>
        <color rgb="FF000000"/>
        <rFont val="微软雅黑"/>
        <charset val="134"/>
      </rPr>
      <t xml:space="preserve">
2、付款方式：【    60个工作日一次性付款     】；</t>
    </r>
  </si>
  <si>
    <t>执行人员两名，1pm+1监理，四天两餐两人</t>
  </si>
  <si>
    <t>执行人员两名，1pm+1监理，四天两间两人</t>
  </si>
  <si>
    <t>执行人员两名，1pm+1监理，四天两人</t>
  </si>
  <si>
    <t>执行人员两名，1pm+1监理，往返两趟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</si>
</sst>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￥&quot;* #,##0.00_ ;_ &quot;￥&quot;* \-#,##0.00_ ;_ &quot;￥&quot;* &quot;-&quot;??.0_ ;_ @_ "/>
    <numFmt numFmtId="177" formatCode="0.00_ "/>
    <numFmt numFmtId="178" formatCode="0.00_);[Red]\(0.00\)"/>
    <numFmt numFmtId="179" formatCode="_(* #,##0.00_);_(* \(#,##0.00\);_(* &quot;-&quot;??_);_(@_)"/>
    <numFmt numFmtId="180" formatCode="_(* #,##0.0_);_(* \(#,##0.0\);_(* &quot;-&quot;??_);_(@_)"/>
  </numFmts>
  <fonts count="43">
    <font>
      <sz val="12"/>
      <name val="等线"/>
      <charset val="134"/>
      <scheme val="minor"/>
    </font>
    <font>
      <b/>
      <sz val="18"/>
      <color rgb="FF000000"/>
      <name val="微软雅黑"/>
      <charset val="134"/>
    </font>
    <font>
      <sz val="18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等线"/>
      <charset val="134"/>
      <scheme val="minor"/>
    </font>
    <font>
      <b/>
      <sz val="12"/>
      <color rgb="FFFF0000"/>
      <name val="微软雅黑"/>
      <charset val="134"/>
    </font>
    <font>
      <sz val="9"/>
      <color theme="1"/>
      <name val="京东朗正体 玲珑"/>
      <charset val="134"/>
    </font>
    <font>
      <sz val="12"/>
      <color theme="1"/>
      <name val="京东朗正体 玲珑"/>
      <charset val="134"/>
    </font>
    <font>
      <sz val="12"/>
      <name val="微软雅黑"/>
      <charset val="134"/>
    </font>
    <font>
      <sz val="9"/>
      <color rgb="FF000000"/>
      <name val="京东朗正体 玲珑"/>
      <charset val="134"/>
    </font>
    <font>
      <sz val="9"/>
      <name val="微软雅黑"/>
      <charset val="134"/>
    </font>
    <font>
      <sz val="16"/>
      <color rgb="FF000000"/>
      <name val="微软雅黑"/>
      <charset val="134"/>
    </font>
    <font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i/>
      <sz val="12"/>
      <color rgb="FFFF0000"/>
      <name val="微软雅黑"/>
      <charset val="134"/>
    </font>
    <font>
      <sz val="10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i/>
      <sz val="10"/>
      <color rgb="FF000000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A5B6CA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/>
      <diagonal/>
    </border>
    <border>
      <left style="hair">
        <color rgb="FF2B2B2B"/>
      </left>
      <right/>
      <top style="hair">
        <color rgb="FF2B2B2B"/>
      </top>
      <bottom style="hair">
        <color rgb="FF2B2B2B"/>
      </bottom>
      <diagonal/>
    </border>
    <border>
      <left/>
      <right/>
      <top style="hair">
        <color rgb="FF2B2B2B"/>
      </top>
      <bottom style="hair">
        <color rgb="FF2B2B2B"/>
      </bottom>
      <diagonal/>
    </border>
    <border>
      <left/>
      <right style="hair">
        <color rgb="FF2B2B2B"/>
      </right>
      <top style="hair">
        <color rgb="FF2B2B2B"/>
      </top>
      <bottom style="hair">
        <color rgb="FF2B2B2B"/>
      </bottom>
      <diagonal/>
    </border>
    <border>
      <left style="hair">
        <color rgb="FF2B2B2B"/>
      </left>
      <right style="hair">
        <color rgb="FF2B2B2B"/>
      </right>
      <top style="hair">
        <color rgb="FF2B2B2B"/>
      </top>
      <bottom style="hair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9" applyNumberFormat="0" applyAlignment="0" applyProtection="0">
      <alignment vertical="center"/>
    </xf>
    <xf numFmtId="0" fontId="29" fillId="12" borderId="20" applyNumberFormat="0" applyAlignment="0" applyProtection="0">
      <alignment vertical="center"/>
    </xf>
    <xf numFmtId="0" fontId="30" fillId="12" borderId="19" applyNumberFormat="0" applyAlignment="0" applyProtection="0">
      <alignment vertical="center"/>
    </xf>
    <xf numFmtId="0" fontId="31" fillId="13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6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6" borderId="2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3" fillId="2" borderId="2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78" fontId="7" fillId="0" borderId="3" xfId="0" applyNumberFormat="1" applyFont="1" applyBorder="1" applyAlignment="1">
      <alignment horizontal="center" vertical="center"/>
    </xf>
    <xf numFmtId="177" fontId="7" fillId="7" borderId="3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 wrapText="1"/>
    </xf>
    <xf numFmtId="177" fontId="7" fillId="7" borderId="3" xfId="0" applyNumberFormat="1" applyFont="1" applyFill="1" applyBorder="1" applyAlignment="1">
      <alignment horizontal="center" vertical="center"/>
    </xf>
    <xf numFmtId="177" fontId="8" fillId="7" borderId="3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78" fontId="8" fillId="0" borderId="3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4" fontId="10" fillId="0" borderId="3" xfId="2" applyFont="1" applyFill="1" applyBorder="1" applyAlignment="1">
      <alignment horizontal="center" vertical="center" wrapText="1"/>
    </xf>
    <xf numFmtId="176" fontId="10" fillId="0" borderId="3" xfId="2" applyNumberFormat="1" applyFont="1" applyFill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right" vertical="center"/>
    </xf>
    <xf numFmtId="176" fontId="4" fillId="2" borderId="1" xfId="0" applyNumberFormat="1" applyFont="1" applyFill="1" applyBorder="1" applyAlignment="1">
      <alignment horizontal="right" vertical="center"/>
    </xf>
    <xf numFmtId="0" fontId="9" fillId="0" borderId="3" xfId="0" applyFont="1" applyBorder="1">
      <alignment vertical="center"/>
    </xf>
    <xf numFmtId="0" fontId="3" fillId="0" borderId="3" xfId="0" applyFont="1" applyBorder="1">
      <alignment vertical="center"/>
    </xf>
    <xf numFmtId="44" fontId="10" fillId="0" borderId="3" xfId="2" applyFont="1" applyFill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right" vertical="center" wrapText="1"/>
    </xf>
    <xf numFmtId="177" fontId="4" fillId="0" borderId="3" xfId="0" applyNumberFormat="1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44" fontId="10" fillId="0" borderId="3" xfId="2" applyFont="1" applyFill="1" applyBorder="1" applyAlignment="1">
      <alignment vertical="center" wrapText="1"/>
    </xf>
    <xf numFmtId="0" fontId="9" fillId="0" borderId="5" xfId="0" applyFont="1" applyBorder="1">
      <alignment vertical="center"/>
    </xf>
    <xf numFmtId="0" fontId="3" fillId="3" borderId="2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9" fillId="0" borderId="6" xfId="0" applyFont="1" applyBorder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9" fillId="7" borderId="6" xfId="0" applyFont="1" applyFill="1" applyBorder="1">
      <alignment vertical="center"/>
    </xf>
    <xf numFmtId="44" fontId="10" fillId="7" borderId="3" xfId="2" applyFont="1" applyFill="1" applyBorder="1" applyAlignment="1">
      <alignment horizontal="center" vertical="center" wrapText="1"/>
    </xf>
    <xf numFmtId="176" fontId="10" fillId="7" borderId="3" xfId="2" applyNumberFormat="1" applyFont="1" applyFill="1" applyBorder="1" applyAlignment="1">
      <alignment horizontal="center" vertical="center" wrapText="1"/>
    </xf>
    <xf numFmtId="17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11" fillId="0" borderId="3" xfId="0" applyFont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9" fillId="0" borderId="7" xfId="0" applyFont="1" applyBorder="1">
      <alignment vertical="center"/>
    </xf>
    <xf numFmtId="179" fontId="11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3" fillId="8" borderId="8" xfId="0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2" fontId="4" fillId="8" borderId="9" xfId="0" applyNumberFormat="1" applyFont="1" applyFill="1" applyBorder="1" applyAlignment="1">
      <alignment horizontal="right" vertical="center"/>
    </xf>
    <xf numFmtId="177" fontId="4" fillId="8" borderId="9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179" fontId="4" fillId="8" borderId="3" xfId="0" applyNumberFormat="1" applyFont="1" applyFill="1" applyBorder="1" applyAlignment="1">
      <alignment horizontal="right" vertical="center"/>
    </xf>
    <xf numFmtId="0" fontId="4" fillId="8" borderId="3" xfId="0" applyFont="1" applyFill="1" applyBorder="1">
      <alignment vertical="center"/>
    </xf>
    <xf numFmtId="9" fontId="4" fillId="8" borderId="3" xfId="0" applyNumberFormat="1" applyFont="1" applyFill="1" applyBorder="1" applyAlignment="1">
      <alignment horizontal="center" vertical="center"/>
    </xf>
    <xf numFmtId="180" fontId="4" fillId="8" borderId="3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2" fontId="4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9" fontId="4" fillId="2" borderId="9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9" fontId="4" fillId="2" borderId="3" xfId="0" applyNumberFormat="1" applyFont="1" applyFill="1" applyBorder="1" applyAlignment="1">
      <alignment horizontal="center" vertical="center"/>
    </xf>
    <xf numFmtId="179" fontId="4" fillId="2" borderId="3" xfId="0" applyNumberFormat="1" applyFont="1" applyFill="1" applyBorder="1" applyAlignment="1">
      <alignment horizontal="center" vertical="center"/>
    </xf>
    <xf numFmtId="180" fontId="4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3" borderId="4" xfId="0" applyFont="1" applyFill="1" applyBorder="1">
      <alignment vertical="center"/>
    </xf>
    <xf numFmtId="179" fontId="11" fillId="0" borderId="3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0" fontId="3" fillId="3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right" vertical="center"/>
    </xf>
    <xf numFmtId="177" fontId="4" fillId="3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179" fontId="4" fillId="9" borderId="3" xfId="0" applyNumberFormat="1" applyFont="1" applyFill="1" applyBorder="1" applyAlignment="1">
      <alignment horizontal="right" vertical="center"/>
    </xf>
    <xf numFmtId="0" fontId="4" fillId="9" borderId="3" xfId="0" applyFont="1" applyFill="1" applyBorder="1">
      <alignment vertical="center"/>
    </xf>
    <xf numFmtId="0" fontId="4" fillId="9" borderId="6" xfId="0" applyFont="1" applyFill="1" applyBorder="1">
      <alignment vertical="center"/>
    </xf>
    <xf numFmtId="9" fontId="4" fillId="9" borderId="3" xfId="0" applyNumberFormat="1" applyFont="1" applyFill="1" applyBorder="1" applyAlignment="1">
      <alignment horizontal="center" vertical="center"/>
    </xf>
    <xf numFmtId="177" fontId="4" fillId="9" borderId="3" xfId="0" applyNumberFormat="1" applyFont="1" applyFill="1" applyBorder="1" applyAlignment="1">
      <alignment horizontal="right" vertical="center"/>
    </xf>
    <xf numFmtId="0" fontId="4" fillId="9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40" fontId="4" fillId="0" borderId="1" xfId="0" applyNumberFormat="1" applyFont="1" applyBorder="1" applyAlignment="1">
      <alignment horizontal="right" vertical="center" wrapText="1"/>
    </xf>
    <xf numFmtId="40" fontId="15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8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40" fontId="4" fillId="0" borderId="1" xfId="0" applyNumberFormat="1" applyFont="1" applyBorder="1" applyAlignment="1">
      <alignment horizontal="left" vertical="center" wrapText="1"/>
    </xf>
    <xf numFmtId="177" fontId="15" fillId="0" borderId="1" xfId="0" applyNumberFormat="1" applyFont="1" applyBorder="1" applyAlignment="1">
      <alignment horizontal="right" vertical="center" wrapText="1"/>
    </xf>
    <xf numFmtId="178" fontId="1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4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177" fontId="4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11" xfId="0" applyFont="1" applyFill="1" applyBorder="1" applyAlignment="1">
      <alignment horizontal="left" vertical="center"/>
    </xf>
    <xf numFmtId="0" fontId="14" fillId="5" borderId="12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left" vertical="center" wrapText="1"/>
    </xf>
    <xf numFmtId="0" fontId="12" fillId="0" borderId="11" xfId="0" applyFont="1" applyBorder="1">
      <alignment vertical="center"/>
    </xf>
    <xf numFmtId="0" fontId="12" fillId="0" borderId="13" xfId="0" applyFont="1" applyBorder="1">
      <alignment vertical="center"/>
    </xf>
    <xf numFmtId="0" fontId="12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5B6CA"/>
      <color rgb="0092CE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irly.wang@sensel.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R202"/>
  <sheetViews>
    <sheetView zoomScale="150" zoomScaleNormal="150" topLeftCell="A18" workbookViewId="0">
      <selection activeCell="C22" sqref="C22"/>
    </sheetView>
  </sheetViews>
  <sheetFormatPr defaultColWidth="11" defaultRowHeight="17.6"/>
  <cols>
    <col min="1" max="1" width="9" customWidth="1"/>
    <col min="2" max="2" width="17.3333333333333" customWidth="1"/>
    <col min="3" max="3" width="76.5" customWidth="1"/>
    <col min="4" max="18" width="9" customWidth="1"/>
  </cols>
  <sheetData>
    <row r="1" spans="1:18">
      <c r="A1" s="174"/>
      <c r="B1" s="174"/>
      <c r="C1" s="175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</row>
    <row r="2" ht="27" customHeight="1" spans="1:18">
      <c r="A2" s="176" t="s">
        <v>0</v>
      </c>
      <c r="B2" s="176" t="s">
        <v>1</v>
      </c>
      <c r="C2" s="176" t="s">
        <v>2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</row>
    <row r="3" ht="21" customHeight="1" spans="1:18">
      <c r="A3" s="177">
        <v>1</v>
      </c>
      <c r="B3" s="177" t="s">
        <v>3</v>
      </c>
      <c r="C3" s="178" t="s">
        <v>4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</row>
    <row r="4" ht="43" customHeight="1" spans="1:18">
      <c r="A4" s="177">
        <v>2</v>
      </c>
      <c r="B4" s="177" t="s">
        <v>5</v>
      </c>
      <c r="C4" s="179" t="s">
        <v>6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</row>
    <row r="5" ht="21" customHeight="1" spans="1:18">
      <c r="A5" s="177">
        <v>3</v>
      </c>
      <c r="B5" s="177" t="s">
        <v>7</v>
      </c>
      <c r="C5" s="157" t="s">
        <v>8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</row>
    <row r="6" ht="21" customHeight="1" spans="1:18">
      <c r="A6" s="177">
        <v>4</v>
      </c>
      <c r="B6" s="177" t="s">
        <v>9</v>
      </c>
      <c r="C6" s="157" t="s">
        <v>10</v>
      </c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</row>
    <row r="7" ht="21" customHeight="1" spans="1:18">
      <c r="A7" s="177">
        <v>5</v>
      </c>
      <c r="B7" s="177" t="s">
        <v>11</v>
      </c>
      <c r="C7" s="157" t="s">
        <v>12</v>
      </c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</row>
    <row r="8" ht="21" customHeight="1" spans="1:18">
      <c r="A8" s="177">
        <v>6</v>
      </c>
      <c r="B8" s="177" t="s">
        <v>13</v>
      </c>
      <c r="C8" s="157" t="s">
        <v>14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</row>
    <row r="9" ht="21" customHeight="1" spans="1:18">
      <c r="A9" s="177">
        <v>7</v>
      </c>
      <c r="B9" s="177" t="s">
        <v>15</v>
      </c>
      <c r="C9" s="157" t="s">
        <v>16</v>
      </c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</row>
    <row r="10" ht="21" customHeight="1" spans="1:18">
      <c r="A10" s="177">
        <v>8</v>
      </c>
      <c r="B10" s="177" t="s">
        <v>17</v>
      </c>
      <c r="C10" s="157" t="s">
        <v>18</v>
      </c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</row>
    <row r="11" ht="21" customHeight="1" spans="1:18">
      <c r="A11" s="177">
        <v>9</v>
      </c>
      <c r="B11" s="177" t="s">
        <v>19</v>
      </c>
      <c r="C11" s="157" t="s">
        <v>20</v>
      </c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</row>
    <row r="12" ht="21" customHeight="1" spans="1:18">
      <c r="A12" s="177">
        <v>10</v>
      </c>
      <c r="B12" s="177" t="s">
        <v>21</v>
      </c>
      <c r="C12" s="157" t="s">
        <v>22</v>
      </c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</row>
    <row r="13" ht="25" customHeight="1" spans="1:18">
      <c r="A13" s="177">
        <v>11</v>
      </c>
      <c r="B13" s="177" t="s">
        <v>23</v>
      </c>
      <c r="C13" s="180" t="s">
        <v>24</v>
      </c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</row>
    <row r="14" ht="40" customHeight="1" spans="1:18">
      <c r="A14" s="177">
        <v>12</v>
      </c>
      <c r="B14" s="177" t="s">
        <v>25</v>
      </c>
      <c r="C14" s="157" t="s">
        <v>26</v>
      </c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</row>
    <row r="15" ht="65" customHeight="1" spans="1:18">
      <c r="A15" s="181" t="s">
        <v>27</v>
      </c>
      <c r="B15" s="182"/>
      <c r="C15" s="182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</row>
    <row r="16" ht="29" customHeight="1" spans="1:18">
      <c r="A16" s="183" t="s">
        <v>28</v>
      </c>
      <c r="B16" s="184"/>
      <c r="C16" s="185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</row>
    <row r="17" ht="64" customHeight="1" spans="1:18">
      <c r="A17" s="177">
        <v>1</v>
      </c>
      <c r="B17" s="186" t="s">
        <v>29</v>
      </c>
      <c r="C17" s="187" t="s">
        <v>30</v>
      </c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</row>
    <row r="18" ht="64" customHeight="1" spans="1:18">
      <c r="A18" s="177">
        <v>2</v>
      </c>
      <c r="B18" s="186" t="s">
        <v>31</v>
      </c>
      <c r="C18" s="180" t="s">
        <v>32</v>
      </c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</row>
    <row r="19" ht="41" customHeight="1" spans="1:18">
      <c r="A19" s="177">
        <v>3</v>
      </c>
      <c r="B19" s="186" t="s">
        <v>33</v>
      </c>
      <c r="C19" s="180" t="s">
        <v>34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</row>
    <row r="20" ht="58" customHeight="1" spans="1:18">
      <c r="A20" s="177">
        <v>4</v>
      </c>
      <c r="B20" s="186" t="s">
        <v>35</v>
      </c>
      <c r="C20" s="180" t="s">
        <v>36</v>
      </c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</row>
    <row r="21" ht="49" customHeight="1" spans="1:18">
      <c r="A21" s="177">
        <v>5</v>
      </c>
      <c r="B21" s="186" t="s">
        <v>37</v>
      </c>
      <c r="C21" s="180" t="s">
        <v>38</v>
      </c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</row>
    <row r="22" ht="72" customHeight="1" spans="1:18">
      <c r="A22" s="177">
        <v>6</v>
      </c>
      <c r="B22" s="186" t="s">
        <v>39</v>
      </c>
      <c r="C22" s="180" t="s">
        <v>40</v>
      </c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</row>
    <row r="23" ht="49" customHeight="1" spans="1:18">
      <c r="A23" s="177">
        <v>7</v>
      </c>
      <c r="B23" s="186" t="s">
        <v>41</v>
      </c>
      <c r="C23" s="180" t="s">
        <v>42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</row>
    <row r="24" ht="37" customHeight="1" spans="1:18">
      <c r="A24" s="177">
        <v>8</v>
      </c>
      <c r="B24" s="186" t="s">
        <v>43</v>
      </c>
      <c r="C24" s="180" t="s">
        <v>44</v>
      </c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</row>
    <row r="25" ht="48" customHeight="1" spans="1:18">
      <c r="A25" s="177">
        <v>9</v>
      </c>
      <c r="B25" s="186" t="s">
        <v>45</v>
      </c>
      <c r="C25" s="187" t="s">
        <v>46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</row>
    <row r="26" ht="43" customHeight="1" spans="1:18">
      <c r="A26" s="177">
        <v>10</v>
      </c>
      <c r="B26" s="186" t="s">
        <v>47</v>
      </c>
      <c r="C26" s="180" t="s">
        <v>48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</row>
    <row r="27" ht="42" customHeight="1" spans="1:18">
      <c r="A27" s="177">
        <v>11</v>
      </c>
      <c r="B27" s="186" t="s">
        <v>49</v>
      </c>
      <c r="C27" s="187" t="s">
        <v>50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</row>
    <row r="28" ht="49" customHeight="1" spans="1:18">
      <c r="A28" s="177">
        <v>12</v>
      </c>
      <c r="B28" s="186" t="s">
        <v>51</v>
      </c>
      <c r="C28" s="180" t="s">
        <v>52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</row>
    <row r="29" ht="92" spans="1:18">
      <c r="A29" s="177">
        <v>13</v>
      </c>
      <c r="B29" s="186" t="s">
        <v>53</v>
      </c>
      <c r="C29" s="180" t="s">
        <v>54</v>
      </c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</row>
    <row r="30" spans="1:18">
      <c r="A30" s="174"/>
      <c r="B30" s="174"/>
      <c r="C30" s="175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</row>
    <row r="31" spans="1:18">
      <c r="A31" s="174"/>
      <c r="B31" s="174"/>
      <c r="C31" s="175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</row>
    <row r="32" spans="1:18">
      <c r="A32" s="174"/>
      <c r="B32" s="174"/>
      <c r="C32" s="175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</row>
    <row r="33" spans="1:18">
      <c r="A33" s="174"/>
      <c r="B33" s="174"/>
      <c r="C33" s="175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</row>
    <row r="34" spans="1:18">
      <c r="A34" s="174"/>
      <c r="B34" s="174"/>
      <c r="C34" s="175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</row>
    <row r="35" spans="1:18">
      <c r="A35" s="174"/>
      <c r="B35" s="174"/>
      <c r="C35" s="175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</row>
    <row r="36" spans="1:18">
      <c r="A36" s="174"/>
      <c r="B36" s="174"/>
      <c r="C36" s="175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</row>
    <row r="37" spans="1:18">
      <c r="A37" s="174"/>
      <c r="B37" s="174"/>
      <c r="C37" s="175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</row>
    <row r="38" spans="1:18">
      <c r="A38" s="174"/>
      <c r="B38" s="174"/>
      <c r="C38" s="175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</row>
    <row r="39" spans="1:18">
      <c r="A39" s="174"/>
      <c r="B39" s="174"/>
      <c r="C39" s="175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</row>
    <row r="40" spans="1:18">
      <c r="A40" s="174"/>
      <c r="B40" s="174"/>
      <c r="C40" s="175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</row>
    <row r="41" spans="1:18">
      <c r="A41" s="174"/>
      <c r="B41" s="174"/>
      <c r="C41" s="175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</row>
    <row r="42" spans="1:18">
      <c r="A42" s="174"/>
      <c r="B42" s="174"/>
      <c r="C42" s="175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</row>
    <row r="43" spans="1:18">
      <c r="A43" s="174"/>
      <c r="B43" s="174"/>
      <c r="C43" s="175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</row>
    <row r="44" spans="1:18">
      <c r="A44" s="174"/>
      <c r="B44" s="174"/>
      <c r="C44" s="175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</row>
    <row r="45" spans="1:18">
      <c r="A45" s="174"/>
      <c r="B45" s="174"/>
      <c r="C45" s="175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</row>
    <row r="46" spans="1:18">
      <c r="A46" s="174"/>
      <c r="B46" s="174"/>
      <c r="C46" s="175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</row>
    <row r="47" spans="1:18">
      <c r="A47" s="174"/>
      <c r="B47" s="174"/>
      <c r="C47" s="175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</row>
    <row r="48" spans="1:18">
      <c r="A48" s="174"/>
      <c r="B48" s="174"/>
      <c r="C48" s="175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</row>
    <row r="49" spans="1:18">
      <c r="A49" s="174"/>
      <c r="B49" s="174"/>
      <c r="C49" s="175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</row>
    <row r="50" spans="1:18">
      <c r="A50" s="174"/>
      <c r="B50" s="174"/>
      <c r="C50" s="175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</row>
    <row r="51" spans="1:18">
      <c r="A51" s="174"/>
      <c r="B51" s="174"/>
      <c r="C51" s="175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</row>
    <row r="52" spans="1:18">
      <c r="A52" s="174"/>
      <c r="B52" s="174"/>
      <c r="C52" s="175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</row>
    <row r="53" spans="1:18">
      <c r="A53" s="174"/>
      <c r="B53" s="174"/>
      <c r="C53" s="175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</row>
    <row r="54" spans="1:18">
      <c r="A54" s="174"/>
      <c r="B54" s="174"/>
      <c r="C54" s="175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</row>
    <row r="55" spans="1:18">
      <c r="A55" s="174"/>
      <c r="B55" s="174"/>
      <c r="C55" s="175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</row>
    <row r="56" spans="1:18">
      <c r="A56" s="174"/>
      <c r="B56" s="174"/>
      <c r="C56" s="175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</row>
    <row r="57" spans="1:18">
      <c r="A57" s="174"/>
      <c r="B57" s="174"/>
      <c r="C57" s="175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</row>
    <row r="58" spans="1:18">
      <c r="A58" s="174"/>
      <c r="B58" s="174"/>
      <c r="C58" s="175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</row>
    <row r="59" spans="1:18">
      <c r="A59" s="174"/>
      <c r="B59" s="174"/>
      <c r="C59" s="175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</row>
    <row r="60" spans="1:18">
      <c r="A60" s="174"/>
      <c r="B60" s="174"/>
      <c r="C60" s="175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</row>
    <row r="61" spans="1:18">
      <c r="A61" s="174"/>
      <c r="B61" s="174"/>
      <c r="C61" s="175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</row>
    <row r="62" spans="1:18">
      <c r="A62" s="174"/>
      <c r="B62" s="174"/>
      <c r="C62" s="175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</row>
    <row r="63" spans="1:18">
      <c r="A63" s="174"/>
      <c r="B63" s="174"/>
      <c r="C63" s="175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</row>
    <row r="64" spans="1:18">
      <c r="A64" s="174"/>
      <c r="B64" s="174"/>
      <c r="C64" s="175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</row>
    <row r="65" spans="1:18">
      <c r="A65" s="174"/>
      <c r="B65" s="174"/>
      <c r="C65" s="175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</row>
    <row r="66" spans="1:18">
      <c r="A66" s="174"/>
      <c r="B66" s="174"/>
      <c r="C66" s="175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</row>
    <row r="67" spans="1:18">
      <c r="A67" s="174"/>
      <c r="B67" s="174"/>
      <c r="C67" s="175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</row>
    <row r="68" spans="1:18">
      <c r="A68" s="174"/>
      <c r="B68" s="174"/>
      <c r="C68" s="175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</row>
    <row r="69" spans="1:18">
      <c r="A69" s="174"/>
      <c r="B69" s="174"/>
      <c r="C69" s="175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</row>
    <row r="70" spans="1:18">
      <c r="A70" s="174"/>
      <c r="B70" s="174"/>
      <c r="C70" s="175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</row>
    <row r="71" spans="1:18">
      <c r="A71" s="174"/>
      <c r="B71" s="174"/>
      <c r="C71" s="175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</row>
    <row r="72" spans="1:18">
      <c r="A72" s="174"/>
      <c r="B72" s="174"/>
      <c r="C72" s="175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</row>
    <row r="73" spans="1:18">
      <c r="A73" s="174"/>
      <c r="B73" s="174"/>
      <c r="C73" s="175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</row>
    <row r="74" spans="1:18">
      <c r="A74" s="174"/>
      <c r="B74" s="174"/>
      <c r="C74" s="175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</row>
    <row r="75" spans="1:18">
      <c r="A75" s="174"/>
      <c r="B75" s="174"/>
      <c r="C75" s="175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</row>
    <row r="76" spans="1:18">
      <c r="A76" s="174"/>
      <c r="B76" s="174"/>
      <c r="C76" s="175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</row>
    <row r="77" spans="1:18">
      <c r="A77" s="174"/>
      <c r="B77" s="174"/>
      <c r="C77" s="175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</row>
    <row r="78" spans="1:18">
      <c r="A78" s="174"/>
      <c r="B78" s="174"/>
      <c r="C78" s="175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</row>
    <row r="79" spans="1:18">
      <c r="A79" s="174"/>
      <c r="B79" s="174"/>
      <c r="C79" s="175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</row>
    <row r="80" spans="1:18">
      <c r="A80" s="174"/>
      <c r="B80" s="174"/>
      <c r="C80" s="175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</row>
    <row r="81" spans="1:18">
      <c r="A81" s="174"/>
      <c r="B81" s="174"/>
      <c r="C81" s="175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</row>
    <row r="82" spans="1:18">
      <c r="A82" s="174"/>
      <c r="B82" s="174"/>
      <c r="C82" s="175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</row>
    <row r="83" spans="1:18">
      <c r="A83" s="174"/>
      <c r="B83" s="174"/>
      <c r="C83" s="175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</row>
    <row r="84" spans="1:18">
      <c r="A84" s="174"/>
      <c r="B84" s="174"/>
      <c r="C84" s="175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</row>
    <row r="85" spans="1:18">
      <c r="A85" s="174"/>
      <c r="B85" s="174"/>
      <c r="C85" s="175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</row>
    <row r="86" spans="1:18">
      <c r="A86" s="174"/>
      <c r="B86" s="174"/>
      <c r="C86" s="175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</row>
    <row r="87" spans="1:18">
      <c r="A87" s="174"/>
      <c r="B87" s="174"/>
      <c r="C87" s="175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</row>
    <row r="88" spans="1:18">
      <c r="A88" s="174"/>
      <c r="B88" s="174"/>
      <c r="C88" s="175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</row>
    <row r="89" spans="1:18">
      <c r="A89" s="174"/>
      <c r="B89" s="174"/>
      <c r="C89" s="175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</row>
    <row r="90" spans="1:18">
      <c r="A90" s="174"/>
      <c r="B90" s="174"/>
      <c r="C90" s="175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</row>
    <row r="91" spans="1:18">
      <c r="A91" s="174"/>
      <c r="B91" s="174"/>
      <c r="C91" s="175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</row>
    <row r="92" spans="1:18">
      <c r="A92" s="174"/>
      <c r="B92" s="174"/>
      <c r="C92" s="175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</row>
    <row r="93" spans="1:18">
      <c r="A93" s="174"/>
      <c r="B93" s="174"/>
      <c r="C93" s="175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</row>
    <row r="94" spans="1:18">
      <c r="A94" s="174"/>
      <c r="B94" s="174"/>
      <c r="C94" s="175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</row>
    <row r="95" spans="1:18">
      <c r="A95" s="174"/>
      <c r="B95" s="174"/>
      <c r="C95" s="175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</row>
    <row r="96" spans="1:18">
      <c r="A96" s="174"/>
      <c r="B96" s="174"/>
      <c r="C96" s="175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</row>
    <row r="97" spans="1:18">
      <c r="A97" s="174"/>
      <c r="B97" s="174"/>
      <c r="C97" s="175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</row>
    <row r="98" spans="1:18">
      <c r="A98" s="174"/>
      <c r="B98" s="174"/>
      <c r="C98" s="175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</row>
    <row r="99" spans="1:18">
      <c r="A99" s="174"/>
      <c r="B99" s="174"/>
      <c r="C99" s="175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</row>
    <row r="100" spans="1:18">
      <c r="A100" s="174"/>
      <c r="B100" s="174"/>
      <c r="C100" s="175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</row>
    <row r="101" spans="1:18">
      <c r="A101" s="174"/>
      <c r="B101" s="174"/>
      <c r="C101" s="175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</row>
    <row r="102" spans="1:18">
      <c r="A102" s="174"/>
      <c r="B102" s="174"/>
      <c r="C102" s="175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</row>
    <row r="103" spans="1:18">
      <c r="A103" s="174"/>
      <c r="B103" s="174"/>
      <c r="C103" s="175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</row>
    <row r="104" spans="1:18">
      <c r="A104" s="174"/>
      <c r="B104" s="174"/>
      <c r="C104" s="175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</row>
    <row r="105" spans="1:18">
      <c r="A105" s="174"/>
      <c r="B105" s="174"/>
      <c r="C105" s="175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</row>
    <row r="106" spans="1:18">
      <c r="A106" s="174"/>
      <c r="B106" s="174"/>
      <c r="C106" s="175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</row>
    <row r="107" spans="1:18">
      <c r="A107" s="174"/>
      <c r="B107" s="174"/>
      <c r="C107" s="175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</row>
    <row r="108" spans="1:18">
      <c r="A108" s="174"/>
      <c r="B108" s="174"/>
      <c r="C108" s="175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</row>
    <row r="109" spans="1:18">
      <c r="A109" s="174"/>
      <c r="B109" s="174"/>
      <c r="C109" s="175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</row>
    <row r="110" spans="1:18">
      <c r="A110" s="174"/>
      <c r="B110" s="174"/>
      <c r="C110" s="175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</row>
    <row r="111" spans="1:18">
      <c r="A111" s="174"/>
      <c r="B111" s="174"/>
      <c r="C111" s="175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</row>
    <row r="112" spans="1:18">
      <c r="A112" s="174"/>
      <c r="B112" s="174"/>
      <c r="C112" s="175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</row>
    <row r="113" spans="1:18">
      <c r="A113" s="174"/>
      <c r="B113" s="174"/>
      <c r="C113" s="175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</row>
    <row r="114" spans="1:18">
      <c r="A114" s="174"/>
      <c r="B114" s="174"/>
      <c r="C114" s="175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</row>
    <row r="115" spans="1:18">
      <c r="A115" s="174"/>
      <c r="B115" s="174"/>
      <c r="C115" s="175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</row>
    <row r="116" spans="1:18">
      <c r="A116" s="174"/>
      <c r="B116" s="174"/>
      <c r="C116" s="175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</row>
    <row r="117" spans="1:18">
      <c r="A117" s="174"/>
      <c r="B117" s="174"/>
      <c r="C117" s="175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</row>
    <row r="118" spans="1:18">
      <c r="A118" s="174"/>
      <c r="B118" s="174"/>
      <c r="C118" s="175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</row>
    <row r="119" spans="1:18">
      <c r="A119" s="174"/>
      <c r="B119" s="174"/>
      <c r="C119" s="175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</row>
    <row r="120" spans="1:18">
      <c r="A120" s="174"/>
      <c r="B120" s="174"/>
      <c r="C120" s="175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</row>
    <row r="121" spans="1:18">
      <c r="A121" s="174"/>
      <c r="B121" s="174"/>
      <c r="C121" s="175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</row>
    <row r="122" spans="1:18">
      <c r="A122" s="174"/>
      <c r="B122" s="174"/>
      <c r="C122" s="175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</row>
    <row r="123" spans="1:18">
      <c r="A123" s="174"/>
      <c r="B123" s="174"/>
      <c r="C123" s="175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</row>
    <row r="124" spans="1:18">
      <c r="A124" s="174"/>
      <c r="B124" s="174"/>
      <c r="C124" s="175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</row>
    <row r="125" spans="1:18">
      <c r="A125" s="174"/>
      <c r="B125" s="174"/>
      <c r="C125" s="175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</row>
    <row r="126" spans="1:18">
      <c r="A126" s="174"/>
      <c r="B126" s="174"/>
      <c r="C126" s="175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</row>
    <row r="127" spans="1:18">
      <c r="A127" s="174"/>
      <c r="B127" s="174"/>
      <c r="C127" s="175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</row>
    <row r="128" spans="1:18">
      <c r="A128" s="174"/>
      <c r="B128" s="174"/>
      <c r="C128" s="175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</row>
    <row r="129" spans="1:18">
      <c r="A129" s="174"/>
      <c r="B129" s="174"/>
      <c r="C129" s="175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</row>
    <row r="130" spans="1:18">
      <c r="A130" s="174"/>
      <c r="B130" s="174"/>
      <c r="C130" s="175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</row>
    <row r="131" spans="1:18">
      <c r="A131" s="174"/>
      <c r="B131" s="174"/>
      <c r="C131" s="175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</row>
    <row r="132" spans="1:18">
      <c r="A132" s="174"/>
      <c r="B132" s="174"/>
      <c r="C132" s="175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</row>
    <row r="133" spans="1:18">
      <c r="A133" s="174"/>
      <c r="B133" s="174"/>
      <c r="C133" s="175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</row>
    <row r="134" spans="1:18">
      <c r="A134" s="174"/>
      <c r="B134" s="174"/>
      <c r="C134" s="175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</row>
    <row r="135" spans="1:18">
      <c r="A135" s="174"/>
      <c r="B135" s="174"/>
      <c r="C135" s="175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</row>
    <row r="136" spans="1:18">
      <c r="A136" s="174"/>
      <c r="B136" s="174"/>
      <c r="C136" s="175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</row>
    <row r="137" spans="1:18">
      <c r="A137" s="174"/>
      <c r="B137" s="174"/>
      <c r="C137" s="175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</row>
    <row r="138" spans="1:18">
      <c r="A138" s="174"/>
      <c r="B138" s="174"/>
      <c r="C138" s="175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</row>
    <row r="139" spans="1:18">
      <c r="A139" s="174"/>
      <c r="B139" s="174"/>
      <c r="C139" s="175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</row>
    <row r="140" spans="1:18">
      <c r="A140" s="174"/>
      <c r="B140" s="174"/>
      <c r="C140" s="175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</row>
    <row r="141" spans="1:18">
      <c r="A141" s="174"/>
      <c r="B141" s="174"/>
      <c r="C141" s="175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</row>
    <row r="142" spans="1:18">
      <c r="A142" s="174"/>
      <c r="B142" s="174"/>
      <c r="C142" s="175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</row>
    <row r="143" spans="1:18">
      <c r="A143" s="174"/>
      <c r="B143" s="174"/>
      <c r="C143" s="175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</row>
    <row r="144" spans="1:18">
      <c r="A144" s="174"/>
      <c r="B144" s="174"/>
      <c r="C144" s="175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</row>
    <row r="145" spans="1:18">
      <c r="A145" s="174"/>
      <c r="B145" s="174"/>
      <c r="C145" s="175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</row>
    <row r="146" spans="1:18">
      <c r="A146" s="174"/>
      <c r="B146" s="174"/>
      <c r="C146" s="175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</row>
    <row r="147" spans="1:18">
      <c r="A147" s="174"/>
      <c r="B147" s="174"/>
      <c r="C147" s="175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</row>
    <row r="148" spans="1:18">
      <c r="A148" s="174"/>
      <c r="B148" s="174"/>
      <c r="C148" s="175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</row>
    <row r="149" spans="1:18">
      <c r="A149" s="174"/>
      <c r="B149" s="174"/>
      <c r="C149" s="175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</row>
    <row r="150" spans="1:18">
      <c r="A150" s="174"/>
      <c r="B150" s="174"/>
      <c r="C150" s="175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</row>
    <row r="151" spans="1:18">
      <c r="A151" s="174"/>
      <c r="B151" s="174"/>
      <c r="C151" s="175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</row>
    <row r="152" spans="1:18">
      <c r="A152" s="174"/>
      <c r="B152" s="174"/>
      <c r="C152" s="175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</row>
    <row r="153" spans="1:18">
      <c r="A153" s="174"/>
      <c r="B153" s="174"/>
      <c r="C153" s="175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</row>
    <row r="154" spans="1:18">
      <c r="A154" s="174"/>
      <c r="B154" s="174"/>
      <c r="C154" s="175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</row>
    <row r="155" spans="1:18">
      <c r="A155" s="174"/>
      <c r="B155" s="174"/>
      <c r="C155" s="175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</row>
    <row r="156" spans="1:18">
      <c r="A156" s="174"/>
      <c r="B156" s="174"/>
      <c r="C156" s="175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</row>
    <row r="157" spans="1:18">
      <c r="A157" s="174"/>
      <c r="B157" s="174"/>
      <c r="C157" s="175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</row>
    <row r="158" spans="1:18">
      <c r="A158" s="174"/>
      <c r="B158" s="174"/>
      <c r="C158" s="175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</row>
    <row r="159" spans="1:18">
      <c r="A159" s="174"/>
      <c r="B159" s="174"/>
      <c r="C159" s="175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</row>
    <row r="160" spans="1:18">
      <c r="A160" s="174"/>
      <c r="B160" s="174"/>
      <c r="C160" s="175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</row>
    <row r="161" spans="1:18">
      <c r="A161" s="174"/>
      <c r="B161" s="174"/>
      <c r="C161" s="175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</row>
    <row r="162" spans="1:18">
      <c r="A162" s="174"/>
      <c r="B162" s="174"/>
      <c r="C162" s="175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</row>
    <row r="163" spans="1:18">
      <c r="A163" s="174"/>
      <c r="B163" s="174"/>
      <c r="C163" s="175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</row>
    <row r="164" spans="1:18">
      <c r="A164" s="174"/>
      <c r="B164" s="174"/>
      <c r="C164" s="175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</row>
    <row r="165" spans="1:18">
      <c r="A165" s="174"/>
      <c r="B165" s="174"/>
      <c r="C165" s="175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</row>
    <row r="166" spans="1:18">
      <c r="A166" s="174"/>
      <c r="B166" s="174"/>
      <c r="C166" s="175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</row>
    <row r="167" spans="1:18">
      <c r="A167" s="174"/>
      <c r="B167" s="174"/>
      <c r="C167" s="175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</row>
    <row r="168" spans="1:18">
      <c r="A168" s="174"/>
      <c r="B168" s="174"/>
      <c r="C168" s="175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</row>
    <row r="169" spans="1:18">
      <c r="A169" s="174"/>
      <c r="B169" s="174"/>
      <c r="C169" s="175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</row>
    <row r="170" spans="1:18">
      <c r="A170" s="174"/>
      <c r="B170" s="174"/>
      <c r="C170" s="175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</row>
    <row r="171" spans="1:18">
      <c r="A171" s="174"/>
      <c r="B171" s="174"/>
      <c r="C171" s="175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</row>
    <row r="172" spans="1:18">
      <c r="A172" s="174"/>
      <c r="B172" s="174"/>
      <c r="C172" s="175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</row>
    <row r="173" spans="1:18">
      <c r="A173" s="174"/>
      <c r="B173" s="174"/>
      <c r="C173" s="175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</row>
    <row r="174" spans="1:18">
      <c r="A174" s="174"/>
      <c r="B174" s="174"/>
      <c r="C174" s="175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</row>
    <row r="175" spans="1:18">
      <c r="A175" s="174"/>
      <c r="B175" s="174"/>
      <c r="C175" s="175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</row>
    <row r="176" spans="1:18">
      <c r="A176" s="174"/>
      <c r="B176" s="174"/>
      <c r="C176" s="175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</row>
    <row r="177" spans="1:18">
      <c r="A177" s="174"/>
      <c r="B177" s="174"/>
      <c r="C177" s="175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</row>
    <row r="178" spans="1:18">
      <c r="A178" s="174"/>
      <c r="B178" s="174"/>
      <c r="C178" s="175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</row>
    <row r="179" spans="1:18">
      <c r="A179" s="174"/>
      <c r="B179" s="174"/>
      <c r="C179" s="175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</row>
    <row r="180" spans="1:18">
      <c r="A180" s="174"/>
      <c r="B180" s="174"/>
      <c r="C180" s="175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</row>
    <row r="181" spans="1:18">
      <c r="A181" s="174"/>
      <c r="B181" s="174"/>
      <c r="C181" s="175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</row>
    <row r="182" spans="1:18">
      <c r="A182" s="174"/>
      <c r="B182" s="174"/>
      <c r="C182" s="175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</row>
    <row r="183" spans="1:18">
      <c r="A183" s="174"/>
      <c r="B183" s="174"/>
      <c r="C183" s="175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</row>
    <row r="184" spans="1:18">
      <c r="A184" s="174"/>
      <c r="B184" s="174"/>
      <c r="C184" s="175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</row>
    <row r="185" spans="1:18">
      <c r="A185" s="174"/>
      <c r="B185" s="174"/>
      <c r="C185" s="175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</row>
    <row r="186" spans="1:18">
      <c r="A186" s="174"/>
      <c r="B186" s="174"/>
      <c r="C186" s="175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</row>
    <row r="187" spans="1:18">
      <c r="A187" s="174"/>
      <c r="B187" s="174"/>
      <c r="C187" s="175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</row>
    <row r="188" spans="1:18">
      <c r="A188" s="174"/>
      <c r="B188" s="174"/>
      <c r="C188" s="175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</row>
    <row r="189" spans="1:18">
      <c r="A189" s="174"/>
      <c r="B189" s="174"/>
      <c r="C189" s="175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</row>
    <row r="190" spans="1:18">
      <c r="A190" s="174"/>
      <c r="B190" s="174"/>
      <c r="C190" s="175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</row>
    <row r="191" spans="1:18">
      <c r="A191" s="174"/>
      <c r="B191" s="174"/>
      <c r="C191" s="175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</row>
    <row r="192" spans="1:18">
      <c r="A192" s="174"/>
      <c r="B192" s="174"/>
      <c r="C192" s="175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</row>
    <row r="193" spans="1:18">
      <c r="A193" s="174"/>
      <c r="B193" s="174"/>
      <c r="C193" s="175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</row>
    <row r="194" spans="1:18">
      <c r="A194" s="174"/>
      <c r="B194" s="174"/>
      <c r="C194" s="175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</row>
    <row r="195" spans="1:18">
      <c r="A195" s="174"/>
      <c r="B195" s="174"/>
      <c r="C195" s="175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</row>
    <row r="196" spans="1:18">
      <c r="A196" s="174"/>
      <c r="B196" s="174"/>
      <c r="C196" s="175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</row>
    <row r="197" spans="1:18">
      <c r="A197" s="174"/>
      <c r="B197" s="174"/>
      <c r="C197" s="175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</row>
    <row r="198" spans="1:18">
      <c r="A198" s="174"/>
      <c r="B198" s="174"/>
      <c r="C198" s="175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</row>
    <row r="199" spans="1:18">
      <c r="A199" s="174"/>
      <c r="B199" s="174"/>
      <c r="C199" s="175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</row>
    <row r="200" spans="1:18">
      <c r="A200" s="174"/>
      <c r="B200" s="174"/>
      <c r="C200" s="175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</row>
    <row r="201" spans="1:18">
      <c r="A201" s="174"/>
      <c r="B201" s="174"/>
      <c r="C201" s="175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</row>
    <row r="202" spans="1:18">
      <c r="A202" s="174"/>
      <c r="B202" s="174"/>
      <c r="C202" s="175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</row>
  </sheetData>
  <mergeCells count="2">
    <mergeCell ref="A15:C15"/>
    <mergeCell ref="A16:C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zoomScale="72" zoomScaleNormal="72" workbookViewId="0">
      <selection activeCell="N25" sqref="N25"/>
    </sheetView>
  </sheetViews>
  <sheetFormatPr defaultColWidth="11" defaultRowHeight="17.6"/>
  <cols>
    <col min="1" max="1" width="20.8333333333333" customWidth="1"/>
    <col min="2" max="2" width="16.5" customWidth="1"/>
    <col min="3" max="3" width="13.1666666666667" customWidth="1"/>
    <col min="4" max="4" width="34.1666666666667" customWidth="1"/>
    <col min="5" max="5" width="8.66666666666667" customWidth="1"/>
    <col min="6" max="6" width="20.5" customWidth="1"/>
    <col min="7" max="7" width="17.3333333333333" customWidth="1"/>
    <col min="8" max="8" width="13.1666666666667" customWidth="1"/>
    <col min="9" max="9" width="33.8333333333333" customWidth="1"/>
    <col min="10" max="10" width="8.66666666666667" customWidth="1"/>
    <col min="11" max="11" width="28.8333333333333" customWidth="1"/>
    <col min="12" max="13" width="17.6666666666667" customWidth="1"/>
    <col min="14" max="14" width="31.1666666666667" customWidth="1"/>
    <col min="15" max="18" width="8.66666666666667" customWidth="1"/>
  </cols>
  <sheetData>
    <row r="1" ht="29" customHeight="1" spans="1:18">
      <c r="A1" s="2" t="s">
        <v>55</v>
      </c>
      <c r="B1" s="2"/>
      <c r="C1" s="2"/>
      <c r="D1" s="136"/>
      <c r="E1" s="137"/>
      <c r="F1" s="4" t="s">
        <v>56</v>
      </c>
      <c r="G1" s="4"/>
      <c r="H1" s="4"/>
      <c r="I1" s="138"/>
      <c r="J1" s="137"/>
      <c r="K1" s="5" t="s">
        <v>57</v>
      </c>
      <c r="L1" s="5"/>
      <c r="M1" s="5"/>
      <c r="N1" s="139"/>
      <c r="O1" s="137"/>
      <c r="P1" s="137"/>
      <c r="Q1" s="137"/>
      <c r="R1" s="137"/>
    </row>
    <row r="2" ht="19" customHeight="1" spans="1:18">
      <c r="A2" s="20" t="s">
        <v>11</v>
      </c>
      <c r="B2" s="140" t="s">
        <v>58</v>
      </c>
      <c r="C2" s="140"/>
      <c r="D2" s="141"/>
      <c r="E2" s="137"/>
      <c r="F2" s="20" t="s">
        <v>11</v>
      </c>
      <c r="G2" s="140" t="s">
        <v>58</v>
      </c>
      <c r="H2" s="140"/>
      <c r="I2" s="141"/>
      <c r="J2" s="137"/>
      <c r="K2" s="20" t="s">
        <v>11</v>
      </c>
      <c r="L2" s="140" t="s">
        <v>58</v>
      </c>
      <c r="M2" s="140"/>
      <c r="N2" s="141"/>
      <c r="O2" s="137"/>
      <c r="P2" s="137"/>
      <c r="Q2" s="137"/>
      <c r="R2" s="137"/>
    </row>
    <row r="3" ht="19" customHeight="1" spans="1:18">
      <c r="A3" s="20" t="s">
        <v>7</v>
      </c>
      <c r="B3" s="140" t="s">
        <v>59</v>
      </c>
      <c r="C3" s="140"/>
      <c r="D3" s="141"/>
      <c r="E3" s="137"/>
      <c r="F3" s="20" t="s">
        <v>7</v>
      </c>
      <c r="G3" s="140" t="s">
        <v>59</v>
      </c>
      <c r="H3" s="140"/>
      <c r="I3" s="141"/>
      <c r="J3" s="137"/>
      <c r="K3" s="20" t="s">
        <v>7</v>
      </c>
      <c r="L3" s="140" t="s">
        <v>59</v>
      </c>
      <c r="M3" s="140"/>
      <c r="N3" s="141"/>
      <c r="O3" s="137"/>
      <c r="P3" s="137"/>
      <c r="Q3" s="137"/>
      <c r="R3" s="137"/>
    </row>
    <row r="4" ht="19" customHeight="1" spans="1:18">
      <c r="A4" s="20" t="s">
        <v>9</v>
      </c>
      <c r="B4" s="140" t="s">
        <v>60</v>
      </c>
      <c r="C4" s="140"/>
      <c r="D4" s="141"/>
      <c r="E4" s="137"/>
      <c r="F4" s="20" t="s">
        <v>9</v>
      </c>
      <c r="G4" s="140" t="s">
        <v>60</v>
      </c>
      <c r="H4" s="140"/>
      <c r="I4" s="141"/>
      <c r="J4" s="137"/>
      <c r="K4" s="20" t="s">
        <v>9</v>
      </c>
      <c r="L4" s="140" t="s">
        <v>60</v>
      </c>
      <c r="M4" s="140"/>
      <c r="N4" s="141"/>
      <c r="O4" s="137"/>
      <c r="P4" s="137"/>
      <c r="Q4" s="137"/>
      <c r="R4" s="137"/>
    </row>
    <row r="5" ht="19" customHeight="1" spans="1:18">
      <c r="A5" s="142" t="s">
        <v>61</v>
      </c>
      <c r="B5" s="142" t="s">
        <v>62</v>
      </c>
      <c r="C5" s="142" t="s">
        <v>63</v>
      </c>
      <c r="D5" s="143" t="s">
        <v>64</v>
      </c>
      <c r="E5" s="137"/>
      <c r="F5" s="144" t="s">
        <v>61</v>
      </c>
      <c r="G5" s="144" t="s">
        <v>62</v>
      </c>
      <c r="H5" s="144" t="s">
        <v>63</v>
      </c>
      <c r="I5" s="145" t="s">
        <v>64</v>
      </c>
      <c r="J5" s="137"/>
      <c r="K5" s="146" t="s">
        <v>61</v>
      </c>
      <c r="L5" s="146" t="s">
        <v>62</v>
      </c>
      <c r="M5" s="146" t="s">
        <v>63</v>
      </c>
      <c r="N5" s="147" t="s">
        <v>64</v>
      </c>
      <c r="O5" s="137"/>
      <c r="P5" s="137"/>
      <c r="Q5" s="137"/>
      <c r="R5" s="137"/>
    </row>
    <row r="6" ht="19" customHeight="1" spans="1:18">
      <c r="A6" s="24" t="s">
        <v>29</v>
      </c>
      <c r="B6" s="21"/>
      <c r="C6" s="148">
        <v>0</v>
      </c>
      <c r="D6" s="149" t="s">
        <v>65</v>
      </c>
      <c r="E6" s="137"/>
      <c r="F6" s="24" t="s">
        <v>29</v>
      </c>
      <c r="G6" s="21"/>
      <c r="H6" s="150">
        <v>0</v>
      </c>
      <c r="I6" s="149" t="s">
        <v>65</v>
      </c>
      <c r="J6" s="137"/>
      <c r="K6" s="24" t="s">
        <v>29</v>
      </c>
      <c r="L6" s="21"/>
      <c r="M6" s="151">
        <v>0</v>
      </c>
      <c r="N6" s="149" t="s">
        <v>65</v>
      </c>
      <c r="O6" s="137"/>
      <c r="P6" s="137"/>
      <c r="Q6" s="137"/>
      <c r="R6" s="137"/>
    </row>
    <row r="7" ht="19" customHeight="1" spans="1:18">
      <c r="A7" s="24" t="s">
        <v>31</v>
      </c>
      <c r="B7" s="21"/>
      <c r="C7" s="148">
        <v>0</v>
      </c>
      <c r="D7" s="149" t="s">
        <v>66</v>
      </c>
      <c r="E7" s="137"/>
      <c r="F7" s="24" t="s">
        <v>31</v>
      </c>
      <c r="G7" s="21"/>
      <c r="H7" s="150">
        <v>0</v>
      </c>
      <c r="I7" s="149" t="s">
        <v>66</v>
      </c>
      <c r="J7" s="137"/>
      <c r="K7" s="24" t="s">
        <v>31</v>
      </c>
      <c r="L7" s="21"/>
      <c r="M7" s="151">
        <v>0</v>
      </c>
      <c r="N7" s="149" t="s">
        <v>66</v>
      </c>
      <c r="O7" s="137"/>
      <c r="P7" s="137"/>
      <c r="Q7" s="137"/>
      <c r="R7" s="137"/>
    </row>
    <row r="8" ht="19" customHeight="1" spans="1:18">
      <c r="A8" s="20" t="s">
        <v>33</v>
      </c>
      <c r="B8" s="21"/>
      <c r="C8" s="148">
        <v>12000</v>
      </c>
      <c r="D8" s="149" t="s">
        <v>67</v>
      </c>
      <c r="E8" s="137"/>
      <c r="F8" s="20" t="s">
        <v>33</v>
      </c>
      <c r="G8" s="21"/>
      <c r="H8" s="150">
        <f>明细页模板!X18</f>
        <v>2000</v>
      </c>
      <c r="I8" s="149" t="s">
        <v>67</v>
      </c>
      <c r="J8" s="137"/>
      <c r="K8" s="20" t="s">
        <v>33</v>
      </c>
      <c r="L8" s="21"/>
      <c r="M8" s="151">
        <f>明细页模板!AN16</f>
        <v>2000</v>
      </c>
      <c r="N8" s="149" t="s">
        <v>67</v>
      </c>
      <c r="O8" s="137"/>
      <c r="P8" s="137"/>
      <c r="Q8" s="137"/>
      <c r="R8" s="137"/>
    </row>
    <row r="9" ht="19" customHeight="1" spans="1:18">
      <c r="A9" s="20" t="s">
        <v>35</v>
      </c>
      <c r="B9" s="21"/>
      <c r="C9" s="148">
        <v>102573.2</v>
      </c>
      <c r="D9" s="149" t="s">
        <v>68</v>
      </c>
      <c r="E9" s="137"/>
      <c r="F9" s="20" t="s">
        <v>35</v>
      </c>
      <c r="G9" s="21"/>
      <c r="H9" s="152">
        <f>明细页模板!X86</f>
        <v>63393.969464151</v>
      </c>
      <c r="I9" s="149" t="s">
        <v>68</v>
      </c>
      <c r="J9" s="137"/>
      <c r="K9" s="20" t="s">
        <v>35</v>
      </c>
      <c r="L9" s="21"/>
      <c r="M9" s="153">
        <f>明细页模板!AN56</f>
        <v>63953.969464151</v>
      </c>
      <c r="N9" s="149" t="s">
        <v>68</v>
      </c>
      <c r="O9" s="137"/>
      <c r="P9" s="137"/>
      <c r="Q9" s="137"/>
      <c r="R9" s="137"/>
    </row>
    <row r="10" ht="19" customHeight="1" spans="1:18">
      <c r="A10" s="20" t="s">
        <v>37</v>
      </c>
      <c r="B10" s="21"/>
      <c r="C10" s="148">
        <v>9364.68</v>
      </c>
      <c r="D10" s="149" t="s">
        <v>69</v>
      </c>
      <c r="E10" s="137"/>
      <c r="F10" s="20" t="s">
        <v>37</v>
      </c>
      <c r="G10" s="21"/>
      <c r="H10" s="152">
        <f>明细页模板!X93</f>
        <v>1600</v>
      </c>
      <c r="I10" s="149" t="s">
        <v>69</v>
      </c>
      <c r="J10" s="137"/>
      <c r="K10" s="20" t="s">
        <v>37</v>
      </c>
      <c r="L10" s="21"/>
      <c r="M10" s="153">
        <f>明细页模板!AN59</f>
        <v>1600</v>
      </c>
      <c r="N10" s="149" t="s">
        <v>69</v>
      </c>
      <c r="O10" s="137"/>
      <c r="P10" s="137"/>
      <c r="Q10" s="137"/>
      <c r="R10" s="137"/>
    </row>
    <row r="11" ht="19" customHeight="1" spans="1:18">
      <c r="A11" s="20" t="s">
        <v>39</v>
      </c>
      <c r="B11" s="21"/>
      <c r="C11" s="148">
        <v>12573.21</v>
      </c>
      <c r="D11" s="149" t="s">
        <v>70</v>
      </c>
      <c r="E11" s="137"/>
      <c r="F11" s="20" t="s">
        <v>39</v>
      </c>
      <c r="G11" s="21"/>
      <c r="H11" s="152">
        <f>明细页模板!X101</f>
        <v>12573.21</v>
      </c>
      <c r="I11" s="149" t="s">
        <v>70</v>
      </c>
      <c r="J11" s="137"/>
      <c r="K11" s="20" t="s">
        <v>39</v>
      </c>
      <c r="L11" s="21"/>
      <c r="M11" s="153">
        <f>明细页模板!AN71</f>
        <v>12553.21</v>
      </c>
      <c r="N11" s="149" t="s">
        <v>70</v>
      </c>
      <c r="O11" s="137"/>
      <c r="P11" s="137"/>
      <c r="Q11" s="137"/>
      <c r="R11" s="137"/>
    </row>
    <row r="12" ht="19" customHeight="1" spans="1:18">
      <c r="A12" s="20" t="s">
        <v>41</v>
      </c>
      <c r="B12" s="21"/>
      <c r="C12" s="148">
        <v>0</v>
      </c>
      <c r="D12" s="149" t="s">
        <v>71</v>
      </c>
      <c r="E12" s="137"/>
      <c r="F12" s="20" t="s">
        <v>41</v>
      </c>
      <c r="G12" s="21"/>
      <c r="H12" s="152">
        <f>明细页模板!X112</f>
        <v>11416</v>
      </c>
      <c r="I12" s="149" t="s">
        <v>71</v>
      </c>
      <c r="J12" s="137"/>
      <c r="K12" s="20" t="s">
        <v>41</v>
      </c>
      <c r="L12" s="21"/>
      <c r="M12" s="153">
        <f>明细页模板!AN88</f>
        <v>12013.56</v>
      </c>
      <c r="N12" s="149" t="s">
        <v>71</v>
      </c>
      <c r="O12" s="137"/>
      <c r="P12" s="137"/>
      <c r="Q12" s="137"/>
      <c r="R12" s="137"/>
    </row>
    <row r="13" ht="19" customHeight="1" spans="1:18">
      <c r="A13" s="20" t="s">
        <v>43</v>
      </c>
      <c r="B13" s="21"/>
      <c r="C13" s="148">
        <v>0</v>
      </c>
      <c r="D13" s="149" t="s">
        <v>72</v>
      </c>
      <c r="E13" s="137"/>
      <c r="F13" s="20" t="s">
        <v>43</v>
      </c>
      <c r="G13" s="21"/>
      <c r="H13" s="152">
        <f>明细页模板!X116</f>
        <v>0</v>
      </c>
      <c r="I13" s="149" t="s">
        <v>72</v>
      </c>
      <c r="J13" s="137"/>
      <c r="K13" s="20" t="s">
        <v>43</v>
      </c>
      <c r="L13" s="21"/>
      <c r="M13" s="153">
        <f>明细页模板!AN92</f>
        <v>0</v>
      </c>
      <c r="N13" s="149" t="s">
        <v>72</v>
      </c>
      <c r="O13" s="137"/>
      <c r="P13" s="137"/>
      <c r="Q13" s="137"/>
      <c r="R13" s="137"/>
    </row>
    <row r="14" ht="19" customHeight="1" spans="1:18">
      <c r="A14" s="20" t="s">
        <v>45</v>
      </c>
      <c r="B14" s="21"/>
      <c r="C14" s="148">
        <v>8127.79</v>
      </c>
      <c r="D14" s="149" t="s">
        <v>73</v>
      </c>
      <c r="E14" s="137"/>
      <c r="F14" s="20" t="s">
        <v>45</v>
      </c>
      <c r="G14" s="21"/>
      <c r="H14" s="152">
        <f>明细页模板!X123</f>
        <v>7712.705</v>
      </c>
      <c r="I14" s="149" t="s">
        <v>73</v>
      </c>
      <c r="J14" s="137"/>
      <c r="K14" s="20" t="s">
        <v>45</v>
      </c>
      <c r="L14" s="21"/>
      <c r="M14" s="153">
        <f>明细页模板!AN97</f>
        <v>2186.44</v>
      </c>
      <c r="N14" s="149" t="s">
        <v>73</v>
      </c>
      <c r="O14" s="137"/>
      <c r="P14" s="137"/>
      <c r="Q14" s="137"/>
      <c r="R14" s="137"/>
    </row>
    <row r="15" ht="19" customHeight="1" spans="1:18">
      <c r="A15" s="20" t="s">
        <v>47</v>
      </c>
      <c r="B15" s="21"/>
      <c r="C15" s="148">
        <v>6000</v>
      </c>
      <c r="D15" s="149" t="s">
        <v>74</v>
      </c>
      <c r="E15" s="137"/>
      <c r="F15" s="20" t="s">
        <v>47</v>
      </c>
      <c r="G15" s="21"/>
      <c r="H15" s="152">
        <f>明细页模板!X126</f>
        <v>4000</v>
      </c>
      <c r="I15" s="149" t="s">
        <v>74</v>
      </c>
      <c r="J15" s="137"/>
      <c r="K15" s="20" t="s">
        <v>47</v>
      </c>
      <c r="L15" s="21"/>
      <c r="M15" s="153">
        <f>明细页模板!AN100</f>
        <v>2460</v>
      </c>
      <c r="N15" s="149" t="s">
        <v>74</v>
      </c>
      <c r="O15" s="137"/>
      <c r="P15" s="137"/>
      <c r="Q15" s="137"/>
      <c r="R15" s="137"/>
    </row>
    <row r="16" ht="19" customHeight="1" spans="1:18">
      <c r="A16" s="20" t="s">
        <v>49</v>
      </c>
      <c r="B16" s="21"/>
      <c r="C16" s="148">
        <v>30000</v>
      </c>
      <c r="D16" s="149" t="s">
        <v>75</v>
      </c>
      <c r="E16" s="137"/>
      <c r="F16" s="20" t="s">
        <v>49</v>
      </c>
      <c r="G16" s="21"/>
      <c r="H16" s="152">
        <f>明细页模板!X129</f>
        <v>3000</v>
      </c>
      <c r="I16" s="149" t="s">
        <v>75</v>
      </c>
      <c r="J16" s="137"/>
      <c r="K16" s="20" t="s">
        <v>49</v>
      </c>
      <c r="L16" s="21"/>
      <c r="M16" s="153">
        <f>明细页模板!AN103</f>
        <v>308.2</v>
      </c>
      <c r="N16" s="149" t="s">
        <v>75</v>
      </c>
      <c r="O16" s="137"/>
      <c r="P16" s="137"/>
      <c r="Q16" s="137"/>
      <c r="R16" s="137"/>
    </row>
    <row r="17" ht="19" customHeight="1" spans="1:18">
      <c r="A17" s="20" t="s">
        <v>51</v>
      </c>
      <c r="B17" s="21"/>
      <c r="C17" s="148">
        <v>19416</v>
      </c>
      <c r="D17" s="154"/>
      <c r="E17" s="137"/>
      <c r="F17" s="20" t="s">
        <v>51</v>
      </c>
      <c r="G17" s="21"/>
      <c r="H17" s="152">
        <f>明细页模板!X132</f>
        <v>0</v>
      </c>
      <c r="I17" s="154"/>
      <c r="J17" s="137"/>
      <c r="K17" s="20" t="s">
        <v>51</v>
      </c>
      <c r="L17" s="21"/>
      <c r="M17" s="153">
        <f>明细页模板!AN106</f>
        <v>0</v>
      </c>
      <c r="N17" s="154"/>
      <c r="O17" s="137"/>
      <c r="P17" s="137"/>
      <c r="Q17" s="137"/>
      <c r="R17" s="137"/>
    </row>
    <row r="18" ht="19" customHeight="1" spans="1:18">
      <c r="A18" s="35" t="s">
        <v>76</v>
      </c>
      <c r="B18" s="21"/>
      <c r="C18" s="148">
        <v>48543.79</v>
      </c>
      <c r="D18" s="149" t="s">
        <v>77</v>
      </c>
      <c r="E18" s="137"/>
      <c r="F18" s="37" t="s">
        <v>76</v>
      </c>
      <c r="G18" s="149"/>
      <c r="H18" s="155">
        <f>明细页模板!X133</f>
        <v>28128.705</v>
      </c>
      <c r="I18" s="149" t="s">
        <v>77</v>
      </c>
      <c r="J18" s="137"/>
      <c r="K18" s="28" t="s">
        <v>76</v>
      </c>
      <c r="L18" s="149"/>
      <c r="M18" s="156">
        <f>明细页模板!AN107</f>
        <v>18968.2</v>
      </c>
      <c r="N18" s="149" t="s">
        <v>77</v>
      </c>
      <c r="O18" s="137"/>
      <c r="P18" s="137"/>
      <c r="Q18" s="137"/>
      <c r="R18" s="137"/>
    </row>
    <row r="19" ht="19" customHeight="1" spans="1:18">
      <c r="A19" s="35" t="s">
        <v>78</v>
      </c>
      <c r="B19" s="157" t="s">
        <v>79</v>
      </c>
      <c r="C19" s="148">
        <v>112059.98</v>
      </c>
      <c r="D19" s="149" t="s">
        <v>80</v>
      </c>
      <c r="E19" s="137"/>
      <c r="F19" s="37" t="s">
        <v>78</v>
      </c>
      <c r="G19" s="149" t="s">
        <v>79</v>
      </c>
      <c r="H19" s="155">
        <f>明细页模板!X134</f>
        <v>69810.4615177359</v>
      </c>
      <c r="I19" s="149" t="s">
        <v>80</v>
      </c>
      <c r="J19" s="137"/>
      <c r="K19" s="28" t="s">
        <v>78</v>
      </c>
      <c r="L19" s="149" t="s">
        <v>79</v>
      </c>
      <c r="M19" s="156">
        <f>明细页模板!AN108</f>
        <v>70296.4615177359</v>
      </c>
      <c r="N19" s="149" t="s">
        <v>80</v>
      </c>
      <c r="O19" s="137"/>
      <c r="P19" s="137"/>
      <c r="Q19" s="137"/>
      <c r="R19" s="137"/>
    </row>
    <row r="20" ht="19" customHeight="1" spans="1:18">
      <c r="A20" s="35" t="s">
        <v>81</v>
      </c>
      <c r="B20" s="158">
        <v>0.1</v>
      </c>
      <c r="C20" s="159">
        <f>(C18+C19)*B20</f>
        <v>16060.377</v>
      </c>
      <c r="D20" s="148"/>
      <c r="E20" s="137"/>
      <c r="F20" s="37" t="s">
        <v>81</v>
      </c>
      <c r="G20" s="21"/>
      <c r="H20" s="152">
        <f>明细页模板!X135</f>
        <v>9793.91665177359</v>
      </c>
      <c r="I20" s="148"/>
      <c r="J20" s="137"/>
      <c r="K20" s="28" t="s">
        <v>81</v>
      </c>
      <c r="L20" s="21"/>
      <c r="M20" s="153">
        <f>明细页模板!AN109</f>
        <v>8926.46615177359</v>
      </c>
      <c r="N20" s="148"/>
      <c r="O20" s="137"/>
      <c r="P20" s="137"/>
      <c r="Q20" s="137"/>
      <c r="R20" s="137"/>
    </row>
    <row r="21" ht="19" customHeight="1" spans="1:18">
      <c r="A21" s="35" t="s">
        <v>82</v>
      </c>
      <c r="B21" s="158">
        <v>0.06</v>
      </c>
      <c r="C21" s="159">
        <f>(C18+C19+C20)*B21</f>
        <v>10599.84882</v>
      </c>
      <c r="D21" s="148"/>
      <c r="E21" s="137"/>
      <c r="F21" s="37" t="s">
        <v>82</v>
      </c>
      <c r="G21" s="21"/>
      <c r="H21" s="152">
        <f>明细页模板!X136</f>
        <v>6463.98499017057</v>
      </c>
      <c r="I21" s="148"/>
      <c r="J21" s="137"/>
      <c r="K21" s="28" t="s">
        <v>82</v>
      </c>
      <c r="L21" s="21"/>
      <c r="M21" s="153">
        <f>明细页模板!AN110</f>
        <v>5891.46766017057</v>
      </c>
      <c r="N21" s="148"/>
      <c r="O21" s="137"/>
      <c r="P21" s="137"/>
      <c r="Q21" s="137"/>
      <c r="R21" s="137"/>
    </row>
    <row r="22" ht="19" customHeight="1" spans="1:18">
      <c r="A22" s="35" t="s">
        <v>83</v>
      </c>
      <c r="B22" s="21"/>
      <c r="C22" s="160">
        <f>C18+C19+C20+C21</f>
        <v>187263.99582</v>
      </c>
      <c r="D22" s="148"/>
      <c r="E22" s="137"/>
      <c r="F22" s="37" t="s">
        <v>83</v>
      </c>
      <c r="G22" s="21"/>
      <c r="H22" s="152">
        <f>明细页模板!X137</f>
        <v>114197.06815968</v>
      </c>
      <c r="I22" s="148"/>
      <c r="J22" s="137"/>
      <c r="K22" s="28" t="s">
        <v>83</v>
      </c>
      <c r="L22" s="21"/>
      <c r="M22" s="153">
        <f>明细页模板!AN111</f>
        <v>104082.59532968</v>
      </c>
      <c r="N22" s="148"/>
      <c r="O22" s="137"/>
      <c r="P22" s="137"/>
      <c r="Q22" s="137"/>
      <c r="R22" s="137"/>
    </row>
    <row r="23" ht="19" customHeight="1" spans="1:18">
      <c r="A23" s="35" t="s">
        <v>84</v>
      </c>
      <c r="B23" s="53"/>
      <c r="C23" s="20"/>
      <c r="D23" s="161"/>
      <c r="E23" s="137"/>
      <c r="F23" s="37" t="s">
        <v>84</v>
      </c>
      <c r="G23" s="53"/>
      <c r="H23" s="162"/>
      <c r="I23" s="161"/>
      <c r="J23" s="137"/>
      <c r="K23" s="28" t="s">
        <v>84</v>
      </c>
      <c r="L23" s="53"/>
      <c r="M23" s="53">
        <v>104000</v>
      </c>
      <c r="N23" s="161" t="s">
        <v>85</v>
      </c>
      <c r="O23" s="137"/>
      <c r="P23" s="137"/>
      <c r="Q23" s="137"/>
      <c r="R23" s="137"/>
    </row>
    <row r="24" ht="23.2" spans="1:18">
      <c r="A24" s="163"/>
      <c r="B24" s="137"/>
      <c r="C24" s="137"/>
      <c r="D24" s="164"/>
      <c r="E24" s="137"/>
      <c r="F24" s="163"/>
      <c r="G24" s="137"/>
      <c r="H24" s="137"/>
      <c r="I24" s="164"/>
      <c r="J24" s="137"/>
      <c r="K24" s="163"/>
      <c r="L24" s="137"/>
      <c r="M24" s="137"/>
      <c r="N24" s="164"/>
      <c r="O24" s="137"/>
      <c r="P24" s="137"/>
      <c r="Q24" s="137"/>
      <c r="R24" s="137"/>
    </row>
    <row r="25" ht="19" customHeight="1" spans="1:18">
      <c r="A25" s="163"/>
      <c r="B25" s="137"/>
      <c r="C25" s="137"/>
      <c r="D25" s="164"/>
      <c r="E25" s="137"/>
      <c r="F25" s="165" t="s">
        <v>86</v>
      </c>
      <c r="G25" s="165"/>
      <c r="H25" s="165"/>
      <c r="I25" s="166"/>
      <c r="J25" s="137"/>
      <c r="K25" s="165" t="s">
        <v>86</v>
      </c>
      <c r="L25" s="165"/>
      <c r="M25" s="165"/>
      <c r="N25" s="166"/>
      <c r="O25" s="137"/>
      <c r="P25" s="137"/>
      <c r="Q25" s="137"/>
      <c r="R25" s="137"/>
    </row>
    <row r="26" ht="19" customHeight="1" spans="1:18">
      <c r="A26" s="163"/>
      <c r="B26" s="137"/>
      <c r="C26" s="137"/>
      <c r="D26" s="164"/>
      <c r="E26" s="137"/>
      <c r="F26" s="167" t="s">
        <v>87</v>
      </c>
      <c r="G26" s="168"/>
      <c r="H26" s="168"/>
      <c r="I26" s="169"/>
      <c r="J26" s="137"/>
      <c r="K26" s="167" t="s">
        <v>88</v>
      </c>
      <c r="L26" s="168"/>
      <c r="M26" s="168"/>
      <c r="N26" s="169"/>
      <c r="O26" s="137"/>
      <c r="P26" s="137"/>
      <c r="Q26" s="137"/>
      <c r="R26" s="137"/>
    </row>
    <row r="27" ht="19" customHeight="1" spans="1:18">
      <c r="A27" s="163"/>
      <c r="B27" s="137"/>
      <c r="C27" s="137"/>
      <c r="D27" s="164"/>
      <c r="E27" s="137"/>
      <c r="F27" s="170" t="s">
        <v>89</v>
      </c>
      <c r="G27" s="171"/>
      <c r="H27" s="172"/>
      <c r="I27" s="173">
        <f>SUMIF(明细页模板!Z$8:Z$129,F27:F30,明细页模板!Y$8:Y$129)</f>
        <v>45309.3873320755</v>
      </c>
      <c r="J27" s="137"/>
      <c r="K27" s="170" t="s">
        <v>89</v>
      </c>
      <c r="L27" s="171"/>
      <c r="M27" s="172">
        <f>SUMIF(明细页模板!AP$8:AP$103,K27:K30,明细页模板!AO$8:AO$103)</f>
        <v>1984.47</v>
      </c>
      <c r="N27" s="173"/>
      <c r="O27" s="137"/>
      <c r="P27" s="137"/>
      <c r="Q27" s="137"/>
      <c r="R27" s="137"/>
    </row>
    <row r="28" ht="19" customHeight="1" spans="1:18">
      <c r="A28" s="163"/>
      <c r="B28" s="137"/>
      <c r="C28" s="137"/>
      <c r="D28" s="164"/>
      <c r="E28" s="137"/>
      <c r="F28" s="170" t="s">
        <v>90</v>
      </c>
      <c r="G28" s="171"/>
      <c r="H28" s="172"/>
      <c r="I28" s="173">
        <f>SUMIF(明细页模板!Z$8:Z$129,F27:F30,明细页模板!Y$8:Y$129)</f>
        <v>-93652.0841509434</v>
      </c>
      <c r="J28" s="137"/>
      <c r="K28" s="170" t="s">
        <v>90</v>
      </c>
      <c r="L28" s="171"/>
      <c r="M28" s="172">
        <f>SUMIF(明细页模板!AP$8:AP$103,K27:K30,明细页模板!AO$8:AO$103)</f>
        <v>-300</v>
      </c>
      <c r="N28" s="173"/>
      <c r="O28" s="137"/>
      <c r="P28" s="137"/>
      <c r="Q28" s="137"/>
      <c r="R28" s="137"/>
    </row>
    <row r="29" ht="19" customHeight="1" spans="1:18">
      <c r="A29" s="163"/>
      <c r="B29" s="137"/>
      <c r="C29" s="137"/>
      <c r="D29" s="164"/>
      <c r="E29" s="137"/>
      <c r="F29" s="170" t="s">
        <v>91</v>
      </c>
      <c r="G29" s="171"/>
      <c r="H29" s="172"/>
      <c r="I29" s="173">
        <f>SUMIF(明细页模板!Z$8:Z$129,F27:F30,明细页模板!Y$8:Y$129)</f>
        <v>-782.868113207547</v>
      </c>
      <c r="J29" s="137"/>
      <c r="K29" s="170" t="s">
        <v>91</v>
      </c>
      <c r="L29" s="171"/>
      <c r="M29" s="172">
        <f>SUMIF(明细页模板!AP$8:AP$103,K27:K30,明细页模板!AO$8:AO$103)</f>
        <v>0</v>
      </c>
      <c r="N29" s="173"/>
      <c r="O29" s="137"/>
      <c r="P29" s="137"/>
      <c r="Q29" s="137"/>
      <c r="R29" s="137"/>
    </row>
    <row r="30" ht="19" customHeight="1" spans="1:18">
      <c r="A30" s="163"/>
      <c r="B30" s="137"/>
      <c r="C30" s="137"/>
      <c r="D30" s="164"/>
      <c r="E30" s="137"/>
      <c r="F30" s="170" t="s">
        <v>92</v>
      </c>
      <c r="G30" s="171"/>
      <c r="H30" s="172"/>
      <c r="I30" s="173">
        <f>SUMIF(明细页模板!Z$8:Z$129,F27:F30,明细页模板!Y$8:Y$129)</f>
        <v>-8342.33616981132</v>
      </c>
      <c r="J30" s="137"/>
      <c r="K30" s="170" t="s">
        <v>92</v>
      </c>
      <c r="L30" s="171"/>
      <c r="M30" s="172">
        <f>SUMIF(明细页模板!AP$8:AP$103,K27:K30,明细页模板!AO$8:AO$103)</f>
        <v>-2700.28</v>
      </c>
      <c r="N30" s="173"/>
      <c r="O30" s="137"/>
      <c r="P30" s="137"/>
      <c r="Q30" s="137"/>
      <c r="R30" s="137"/>
    </row>
    <row r="31" ht="23.2" spans="1:18">
      <c r="A31" s="163"/>
      <c r="B31" s="137"/>
      <c r="C31" s="137"/>
      <c r="D31" s="164"/>
      <c r="E31" s="137"/>
      <c r="F31" s="163"/>
      <c r="G31" s="137"/>
      <c r="H31" s="137"/>
      <c r="I31" s="164"/>
      <c r="J31" s="137"/>
      <c r="K31" s="163"/>
      <c r="L31" s="137"/>
      <c r="M31" s="137"/>
      <c r="N31" s="164"/>
      <c r="O31" s="137"/>
      <c r="P31" s="137"/>
      <c r="Q31" s="137"/>
      <c r="R31" s="137"/>
    </row>
    <row r="32" ht="23.2" spans="1:18">
      <c r="A32" s="163"/>
      <c r="B32" s="137"/>
      <c r="C32" s="137"/>
      <c r="D32" s="164"/>
      <c r="E32" s="137"/>
      <c r="F32" s="163"/>
      <c r="G32" s="137"/>
      <c r="H32" s="137"/>
      <c r="I32" s="164"/>
      <c r="J32" s="137"/>
      <c r="K32" s="163"/>
      <c r="L32" s="137"/>
      <c r="M32" s="137"/>
      <c r="N32" s="164"/>
      <c r="O32" s="137"/>
      <c r="P32" s="137"/>
      <c r="Q32" s="137"/>
      <c r="R32" s="137"/>
    </row>
    <row r="33" ht="23.2" spans="1:18">
      <c r="A33" s="163"/>
      <c r="B33" s="137"/>
      <c r="C33" s="137"/>
      <c r="D33" s="164"/>
      <c r="E33" s="137"/>
      <c r="F33" s="163"/>
      <c r="G33" s="137"/>
      <c r="H33" s="137"/>
      <c r="I33" s="164"/>
      <c r="J33" s="137"/>
      <c r="K33" s="163"/>
      <c r="L33" s="137"/>
      <c r="M33" s="137"/>
      <c r="N33" s="164"/>
      <c r="O33" s="137"/>
      <c r="P33" s="137"/>
      <c r="Q33" s="137"/>
      <c r="R33" s="137"/>
    </row>
    <row r="34" ht="23.2" spans="1:18">
      <c r="A34" s="163"/>
      <c r="B34" s="137"/>
      <c r="C34" s="137"/>
      <c r="D34" s="164"/>
      <c r="E34" s="137"/>
      <c r="F34" s="163"/>
      <c r="G34" s="137"/>
      <c r="H34" s="137"/>
      <c r="I34" s="164"/>
      <c r="J34" s="137"/>
      <c r="K34" s="163"/>
      <c r="L34" s="137"/>
      <c r="M34" s="137"/>
      <c r="N34" s="164"/>
      <c r="O34" s="137"/>
      <c r="P34" s="137"/>
      <c r="Q34" s="137"/>
      <c r="R34" s="137"/>
    </row>
    <row r="35" ht="23.2" spans="1:18">
      <c r="A35" s="163"/>
      <c r="B35" s="137"/>
      <c r="C35" s="137"/>
      <c r="D35" s="164"/>
      <c r="E35" s="137"/>
      <c r="F35" s="163"/>
      <c r="G35" s="137"/>
      <c r="H35" s="137"/>
      <c r="I35" s="164"/>
      <c r="J35" s="137"/>
      <c r="K35" s="163"/>
      <c r="L35" s="137"/>
      <c r="M35" s="137"/>
      <c r="N35" s="164"/>
      <c r="O35" s="137"/>
      <c r="P35" s="137"/>
      <c r="Q35" s="137"/>
      <c r="R35" s="137"/>
    </row>
    <row r="36" ht="23.2" spans="1:18">
      <c r="A36" s="163"/>
      <c r="B36" s="137"/>
      <c r="C36" s="137"/>
      <c r="D36" s="164"/>
      <c r="E36" s="137"/>
      <c r="F36" s="163"/>
      <c r="G36" s="137"/>
      <c r="H36" s="137"/>
      <c r="I36" s="164"/>
      <c r="J36" s="137"/>
      <c r="K36" s="163"/>
      <c r="L36" s="137"/>
      <c r="M36" s="137"/>
      <c r="N36" s="164"/>
      <c r="O36" s="137"/>
      <c r="P36" s="137"/>
      <c r="Q36" s="137"/>
      <c r="R36" s="137"/>
    </row>
    <row r="37" ht="23.2" spans="1:18">
      <c r="A37" s="163"/>
      <c r="B37" s="137"/>
      <c r="C37" s="137"/>
      <c r="D37" s="164"/>
      <c r="E37" s="137"/>
      <c r="F37" s="163"/>
      <c r="G37" s="137"/>
      <c r="H37" s="137"/>
      <c r="I37" s="164"/>
      <c r="J37" s="137"/>
      <c r="K37" s="163"/>
      <c r="L37" s="137"/>
      <c r="M37" s="137"/>
      <c r="N37" s="164"/>
      <c r="O37" s="137"/>
      <c r="P37" s="137"/>
      <c r="Q37" s="137"/>
      <c r="R37" s="137"/>
    </row>
    <row r="38" ht="23.2" spans="1:18">
      <c r="A38" s="163"/>
      <c r="B38" s="137"/>
      <c r="C38" s="137"/>
      <c r="D38" s="164"/>
      <c r="E38" s="137"/>
      <c r="F38" s="163"/>
      <c r="G38" s="137"/>
      <c r="H38" s="137"/>
      <c r="I38" s="164"/>
      <c r="J38" s="137"/>
      <c r="K38" s="163"/>
      <c r="L38" s="137"/>
      <c r="M38" s="137"/>
      <c r="N38" s="164"/>
      <c r="O38" s="137"/>
      <c r="P38" s="137"/>
      <c r="Q38" s="137"/>
      <c r="R38" s="137"/>
    </row>
    <row r="39" ht="23.2" spans="1:18">
      <c r="A39" s="163"/>
      <c r="B39" s="137"/>
      <c r="C39" s="137"/>
      <c r="D39" s="164"/>
      <c r="E39" s="137"/>
      <c r="F39" s="163"/>
      <c r="G39" s="137"/>
      <c r="H39" s="137"/>
      <c r="I39" s="164"/>
      <c r="J39" s="137"/>
      <c r="K39" s="163"/>
      <c r="L39" s="137"/>
      <c r="M39" s="137"/>
      <c r="N39" s="164"/>
      <c r="O39" s="137"/>
      <c r="P39" s="137"/>
      <c r="Q39" s="137"/>
      <c r="R39" s="137"/>
    </row>
    <row r="40" ht="23.2" spans="1:18">
      <c r="A40" s="163"/>
      <c r="B40" s="137"/>
      <c r="C40" s="137"/>
      <c r="D40" s="164"/>
      <c r="E40" s="137"/>
      <c r="F40" s="163"/>
      <c r="G40" s="137"/>
      <c r="H40" s="137"/>
      <c r="I40" s="164"/>
      <c r="J40" s="137"/>
      <c r="K40" s="163"/>
      <c r="L40" s="137"/>
      <c r="M40" s="137"/>
      <c r="N40" s="164"/>
      <c r="O40" s="137"/>
      <c r="P40" s="137"/>
      <c r="Q40" s="137"/>
      <c r="R40" s="137"/>
    </row>
    <row r="41" ht="23.2" spans="1:18">
      <c r="A41" s="163"/>
      <c r="B41" s="137"/>
      <c r="C41" s="137"/>
      <c r="D41" s="164"/>
      <c r="E41" s="137"/>
      <c r="F41" s="163"/>
      <c r="G41" s="137"/>
      <c r="H41" s="137"/>
      <c r="I41" s="164"/>
      <c r="J41" s="137"/>
      <c r="K41" s="163"/>
      <c r="L41" s="137"/>
      <c r="M41" s="137"/>
      <c r="N41" s="164"/>
      <c r="O41" s="137"/>
      <c r="P41" s="137"/>
      <c r="Q41" s="137"/>
      <c r="R41" s="137"/>
    </row>
    <row r="42" ht="23.2" spans="1:18">
      <c r="A42" s="163"/>
      <c r="B42" s="137"/>
      <c r="C42" s="137"/>
      <c r="D42" s="164"/>
      <c r="E42" s="137"/>
      <c r="F42" s="163"/>
      <c r="G42" s="137"/>
      <c r="H42" s="137"/>
      <c r="I42" s="164"/>
      <c r="J42" s="137"/>
      <c r="K42" s="163"/>
      <c r="L42" s="137"/>
      <c r="M42" s="137"/>
      <c r="N42" s="164"/>
      <c r="O42" s="137"/>
      <c r="P42" s="137"/>
      <c r="Q42" s="137"/>
      <c r="R42" s="137"/>
    </row>
    <row r="43" ht="23.2" spans="1:18">
      <c r="A43" s="163"/>
      <c r="B43" s="137"/>
      <c r="C43" s="137"/>
      <c r="D43" s="164"/>
      <c r="E43" s="137"/>
      <c r="F43" s="163"/>
      <c r="G43" s="137"/>
      <c r="H43" s="137"/>
      <c r="I43" s="164"/>
      <c r="J43" s="137"/>
      <c r="K43" s="163"/>
      <c r="L43" s="137"/>
      <c r="M43" s="137"/>
      <c r="N43" s="164"/>
      <c r="O43" s="137"/>
      <c r="P43" s="137"/>
      <c r="Q43" s="137"/>
      <c r="R43" s="137"/>
    </row>
    <row r="44" ht="23.2" spans="1:18">
      <c r="A44" s="163"/>
      <c r="B44" s="137"/>
      <c r="C44" s="137"/>
      <c r="D44" s="164"/>
      <c r="E44" s="137"/>
      <c r="F44" s="163"/>
      <c r="G44" s="137"/>
      <c r="H44" s="137"/>
      <c r="I44" s="164"/>
      <c r="J44" s="137"/>
      <c r="K44" s="163"/>
      <c r="L44" s="137"/>
      <c r="M44" s="137"/>
      <c r="N44" s="164"/>
      <c r="O44" s="137"/>
      <c r="P44" s="137"/>
      <c r="Q44" s="137"/>
      <c r="R44" s="137"/>
    </row>
    <row r="45" ht="23.2" spans="1:18">
      <c r="A45" s="163"/>
      <c r="B45" s="137"/>
      <c r="C45" s="137"/>
      <c r="D45" s="164"/>
      <c r="E45" s="137"/>
      <c r="F45" s="163"/>
      <c r="G45" s="137"/>
      <c r="H45" s="137"/>
      <c r="I45" s="164"/>
      <c r="J45" s="137"/>
      <c r="K45" s="163"/>
      <c r="L45" s="137"/>
      <c r="M45" s="137"/>
      <c r="N45" s="164"/>
      <c r="O45" s="137"/>
      <c r="P45" s="137"/>
      <c r="Q45" s="137"/>
      <c r="R45" s="137"/>
    </row>
    <row r="46" ht="23.2" spans="1:18">
      <c r="A46" s="163"/>
      <c r="B46" s="137"/>
      <c r="C46" s="137"/>
      <c r="D46" s="164"/>
      <c r="E46" s="137"/>
      <c r="F46" s="163"/>
      <c r="G46" s="137"/>
      <c r="H46" s="137"/>
      <c r="I46" s="164"/>
      <c r="J46" s="137"/>
      <c r="K46" s="163"/>
      <c r="L46" s="137"/>
      <c r="M46" s="137"/>
      <c r="N46" s="164"/>
      <c r="O46" s="137"/>
      <c r="P46" s="137"/>
      <c r="Q46" s="137"/>
      <c r="R46" s="137"/>
    </row>
    <row r="47" ht="23.2" spans="1:18">
      <c r="A47" s="163"/>
      <c r="B47" s="137"/>
      <c r="C47" s="137"/>
      <c r="D47" s="164"/>
      <c r="E47" s="137"/>
      <c r="F47" s="163"/>
      <c r="G47" s="137"/>
      <c r="H47" s="137"/>
      <c r="I47" s="164"/>
      <c r="J47" s="137"/>
      <c r="K47" s="163"/>
      <c r="L47" s="137"/>
      <c r="M47" s="137"/>
      <c r="N47" s="164"/>
      <c r="O47" s="137"/>
      <c r="P47" s="137"/>
      <c r="Q47" s="137"/>
      <c r="R47" s="137"/>
    </row>
    <row r="48" ht="23.2" spans="1:18">
      <c r="A48" s="163"/>
      <c r="B48" s="137"/>
      <c r="C48" s="137"/>
      <c r="D48" s="164"/>
      <c r="E48" s="137"/>
      <c r="F48" s="163"/>
      <c r="G48" s="137"/>
      <c r="H48" s="137"/>
      <c r="I48" s="164"/>
      <c r="J48" s="137"/>
      <c r="K48" s="163"/>
      <c r="L48" s="137"/>
      <c r="M48" s="137"/>
      <c r="N48" s="164"/>
      <c r="O48" s="137"/>
      <c r="P48" s="137"/>
      <c r="Q48" s="137"/>
      <c r="R48" s="137"/>
    </row>
    <row r="49" ht="23.2" spans="1:18">
      <c r="A49" s="163"/>
      <c r="B49" s="137"/>
      <c r="C49" s="137"/>
      <c r="D49" s="164"/>
      <c r="E49" s="137"/>
      <c r="F49" s="163"/>
      <c r="G49" s="137"/>
      <c r="H49" s="137"/>
      <c r="I49" s="164"/>
      <c r="J49" s="137"/>
      <c r="K49" s="163"/>
      <c r="L49" s="137"/>
      <c r="M49" s="137"/>
      <c r="N49" s="164"/>
      <c r="O49" s="137"/>
      <c r="P49" s="137"/>
      <c r="Q49" s="137"/>
      <c r="R49" s="137"/>
    </row>
    <row r="50" ht="23.2" spans="1:18">
      <c r="A50" s="163"/>
      <c r="B50" s="137"/>
      <c r="C50" s="137"/>
      <c r="D50" s="164"/>
      <c r="E50" s="137"/>
      <c r="F50" s="163"/>
      <c r="G50" s="137"/>
      <c r="H50" s="137"/>
      <c r="I50" s="164"/>
      <c r="J50" s="137"/>
      <c r="K50" s="163"/>
      <c r="L50" s="137"/>
      <c r="M50" s="137"/>
      <c r="N50" s="164"/>
      <c r="O50" s="137"/>
      <c r="P50" s="137"/>
      <c r="Q50" s="137"/>
      <c r="R50" s="137"/>
    </row>
    <row r="51" ht="23.2" spans="1:18">
      <c r="A51" s="163"/>
      <c r="B51" s="137"/>
      <c r="C51" s="137"/>
      <c r="D51" s="164"/>
      <c r="E51" s="137"/>
      <c r="F51" s="163"/>
      <c r="G51" s="137"/>
      <c r="H51" s="137"/>
      <c r="I51" s="164"/>
      <c r="J51" s="137"/>
      <c r="K51" s="163"/>
      <c r="L51" s="137"/>
      <c r="M51" s="137"/>
      <c r="N51" s="164"/>
      <c r="O51" s="137"/>
      <c r="P51" s="137"/>
      <c r="Q51" s="137"/>
      <c r="R51" s="137"/>
    </row>
    <row r="52" ht="23.2" spans="1:18">
      <c r="A52" s="163"/>
      <c r="B52" s="137"/>
      <c r="C52" s="137"/>
      <c r="D52" s="164"/>
      <c r="E52" s="137"/>
      <c r="F52" s="163"/>
      <c r="G52" s="137"/>
      <c r="H52" s="137"/>
      <c r="I52" s="164"/>
      <c r="J52" s="137"/>
      <c r="K52" s="163"/>
      <c r="L52" s="137"/>
      <c r="M52" s="137"/>
      <c r="N52" s="164"/>
      <c r="O52" s="137"/>
      <c r="P52" s="137"/>
      <c r="Q52" s="137"/>
      <c r="R52" s="137"/>
    </row>
    <row r="53" ht="23.2" spans="1:18">
      <c r="A53" s="163"/>
      <c r="B53" s="137"/>
      <c r="C53" s="137"/>
      <c r="D53" s="164"/>
      <c r="E53" s="137"/>
      <c r="F53" s="163"/>
      <c r="G53" s="137"/>
      <c r="H53" s="137"/>
      <c r="I53" s="164"/>
      <c r="J53" s="137"/>
      <c r="K53" s="163"/>
      <c r="L53" s="137"/>
      <c r="M53" s="137"/>
      <c r="N53" s="164"/>
      <c r="O53" s="137"/>
      <c r="P53" s="137"/>
      <c r="Q53" s="137"/>
      <c r="R53" s="137"/>
    </row>
    <row r="54" ht="23.2" spans="1:18">
      <c r="A54" s="163"/>
      <c r="B54" s="137"/>
      <c r="C54" s="137"/>
      <c r="D54" s="164"/>
      <c r="E54" s="137"/>
      <c r="F54" s="163"/>
      <c r="G54" s="137"/>
      <c r="H54" s="137"/>
      <c r="I54" s="164"/>
      <c r="J54" s="137"/>
      <c r="K54" s="163"/>
      <c r="L54" s="137"/>
      <c r="M54" s="137"/>
      <c r="N54" s="164"/>
      <c r="O54" s="137"/>
      <c r="P54" s="137"/>
      <c r="Q54" s="137"/>
      <c r="R54" s="137"/>
    </row>
    <row r="55" ht="23.2" spans="1:18">
      <c r="A55" s="163"/>
      <c r="B55" s="137"/>
      <c r="C55" s="137"/>
      <c r="D55" s="164"/>
      <c r="E55" s="137"/>
      <c r="F55" s="163"/>
      <c r="G55" s="137"/>
      <c r="H55" s="137"/>
      <c r="I55" s="164"/>
      <c r="J55" s="137"/>
      <c r="K55" s="163"/>
      <c r="L55" s="137"/>
      <c r="M55" s="137"/>
      <c r="N55" s="164"/>
      <c r="O55" s="137"/>
      <c r="P55" s="137"/>
      <c r="Q55" s="137"/>
      <c r="R55" s="137"/>
    </row>
    <row r="56" ht="23.2" spans="1:18">
      <c r="A56" s="163"/>
      <c r="B56" s="137"/>
      <c r="C56" s="137"/>
      <c r="D56" s="164"/>
      <c r="E56" s="137"/>
      <c r="F56" s="163"/>
      <c r="G56" s="137"/>
      <c r="H56" s="137"/>
      <c r="I56" s="164"/>
      <c r="J56" s="137"/>
      <c r="K56" s="163"/>
      <c r="L56" s="137"/>
      <c r="M56" s="137"/>
      <c r="N56" s="164"/>
      <c r="O56" s="137"/>
      <c r="P56" s="137"/>
      <c r="Q56" s="137"/>
      <c r="R56" s="137"/>
    </row>
    <row r="57" ht="23.2" spans="1:18">
      <c r="A57" s="163"/>
      <c r="B57" s="137"/>
      <c r="C57" s="137"/>
      <c r="D57" s="164"/>
      <c r="E57" s="137"/>
      <c r="F57" s="163"/>
      <c r="G57" s="137"/>
      <c r="H57" s="137"/>
      <c r="I57" s="164"/>
      <c r="J57" s="137"/>
      <c r="K57" s="163"/>
      <c r="L57" s="137"/>
      <c r="M57" s="137"/>
      <c r="N57" s="164"/>
      <c r="O57" s="137"/>
      <c r="P57" s="137"/>
      <c r="Q57" s="137"/>
      <c r="R57" s="137"/>
    </row>
    <row r="58" ht="23.2" spans="1:18">
      <c r="A58" s="163"/>
      <c r="B58" s="137"/>
      <c r="C58" s="137"/>
      <c r="D58" s="164"/>
      <c r="E58" s="137"/>
      <c r="F58" s="163"/>
      <c r="G58" s="137"/>
      <c r="H58" s="137"/>
      <c r="I58" s="164"/>
      <c r="J58" s="137"/>
      <c r="K58" s="163"/>
      <c r="L58" s="137"/>
      <c r="M58" s="137"/>
      <c r="N58" s="164"/>
      <c r="O58" s="137"/>
      <c r="P58" s="137"/>
      <c r="Q58" s="137"/>
      <c r="R58" s="137"/>
    </row>
    <row r="59" ht="23.2" spans="1:18">
      <c r="A59" s="163"/>
      <c r="B59" s="137"/>
      <c r="C59" s="137"/>
      <c r="D59" s="164"/>
      <c r="E59" s="137"/>
      <c r="F59" s="163"/>
      <c r="G59" s="137"/>
      <c r="H59" s="137"/>
      <c r="I59" s="164"/>
      <c r="J59" s="137"/>
      <c r="K59" s="163"/>
      <c r="L59" s="137"/>
      <c r="M59" s="137"/>
      <c r="N59" s="164"/>
      <c r="O59" s="137"/>
      <c r="P59" s="137"/>
      <c r="Q59" s="137"/>
      <c r="R59" s="137"/>
    </row>
    <row r="60" ht="23.2" spans="1:18">
      <c r="A60" s="163"/>
      <c r="B60" s="137"/>
      <c r="C60" s="137"/>
      <c r="D60" s="164"/>
      <c r="E60" s="137"/>
      <c r="F60" s="163"/>
      <c r="G60" s="137"/>
      <c r="H60" s="137"/>
      <c r="I60" s="164"/>
      <c r="J60" s="137"/>
      <c r="K60" s="163"/>
      <c r="L60" s="137"/>
      <c r="M60" s="137"/>
      <c r="N60" s="164"/>
      <c r="O60" s="137"/>
      <c r="P60" s="137"/>
      <c r="Q60" s="137"/>
      <c r="R60" s="137"/>
    </row>
    <row r="61" ht="23.2" spans="1:18">
      <c r="A61" s="163"/>
      <c r="B61" s="137"/>
      <c r="C61" s="137"/>
      <c r="D61" s="164"/>
      <c r="E61" s="137"/>
      <c r="F61" s="163"/>
      <c r="G61" s="137"/>
      <c r="H61" s="137"/>
      <c r="I61" s="164"/>
      <c r="J61" s="137"/>
      <c r="K61" s="163"/>
      <c r="L61" s="137"/>
      <c r="M61" s="137"/>
      <c r="N61" s="164"/>
      <c r="O61" s="137"/>
      <c r="P61" s="137"/>
      <c r="Q61" s="137"/>
      <c r="R61" s="137"/>
    </row>
    <row r="62" ht="23.2" spans="1:18">
      <c r="A62" s="163"/>
      <c r="B62" s="137"/>
      <c r="C62" s="137"/>
      <c r="D62" s="164"/>
      <c r="E62" s="137"/>
      <c r="F62" s="163"/>
      <c r="G62" s="137"/>
      <c r="H62" s="137"/>
      <c r="I62" s="164"/>
      <c r="J62" s="137"/>
      <c r="K62" s="163"/>
      <c r="L62" s="137"/>
      <c r="M62" s="137"/>
      <c r="N62" s="164"/>
      <c r="O62" s="137"/>
      <c r="P62" s="137"/>
      <c r="Q62" s="137"/>
      <c r="R62" s="137"/>
    </row>
    <row r="63" ht="23.2" spans="1:18">
      <c r="A63" s="163"/>
      <c r="B63" s="137"/>
      <c r="C63" s="137"/>
      <c r="D63" s="164"/>
      <c r="E63" s="137"/>
      <c r="F63" s="163"/>
      <c r="G63" s="137"/>
      <c r="H63" s="137"/>
      <c r="I63" s="164"/>
      <c r="J63" s="137"/>
      <c r="K63" s="163"/>
      <c r="L63" s="137"/>
      <c r="M63" s="137"/>
      <c r="N63" s="164"/>
      <c r="O63" s="137"/>
      <c r="P63" s="137"/>
      <c r="Q63" s="137"/>
      <c r="R63" s="137"/>
    </row>
    <row r="64" ht="23.2" spans="1:18">
      <c r="A64" s="163"/>
      <c r="B64" s="137"/>
      <c r="C64" s="137"/>
      <c r="D64" s="164"/>
      <c r="E64" s="137"/>
      <c r="F64" s="163"/>
      <c r="G64" s="137"/>
      <c r="H64" s="137"/>
      <c r="I64" s="164"/>
      <c r="J64" s="137"/>
      <c r="K64" s="163"/>
      <c r="L64" s="137"/>
      <c r="M64" s="137"/>
      <c r="N64" s="164"/>
      <c r="O64" s="137"/>
      <c r="P64" s="137"/>
      <c r="Q64" s="137"/>
      <c r="R64" s="137"/>
    </row>
    <row r="65" ht="23.2" spans="1:18">
      <c r="A65" s="163"/>
      <c r="B65" s="137"/>
      <c r="C65" s="137"/>
      <c r="D65" s="164"/>
      <c r="E65" s="137"/>
      <c r="F65" s="163"/>
      <c r="G65" s="137"/>
      <c r="H65" s="137"/>
      <c r="I65" s="164"/>
      <c r="J65" s="137"/>
      <c r="K65" s="163"/>
      <c r="L65" s="137"/>
      <c r="M65" s="137"/>
      <c r="N65" s="164"/>
      <c r="O65" s="137"/>
      <c r="P65" s="137"/>
      <c r="Q65" s="137"/>
      <c r="R65" s="137"/>
    </row>
    <row r="66" ht="23.2" spans="1:18">
      <c r="A66" s="163"/>
      <c r="B66" s="137"/>
      <c r="C66" s="137"/>
      <c r="D66" s="164"/>
      <c r="E66" s="137"/>
      <c r="F66" s="163"/>
      <c r="G66" s="137"/>
      <c r="H66" s="137"/>
      <c r="I66" s="164"/>
      <c r="J66" s="137"/>
      <c r="K66" s="163"/>
      <c r="L66" s="137"/>
      <c r="M66" s="137"/>
      <c r="N66" s="164"/>
      <c r="O66" s="137"/>
      <c r="P66" s="137"/>
      <c r="Q66" s="137"/>
      <c r="R66" s="137"/>
    </row>
    <row r="67" ht="23.2" spans="1:18">
      <c r="A67" s="163"/>
      <c r="B67" s="137"/>
      <c r="C67" s="137"/>
      <c r="D67" s="164"/>
      <c r="E67" s="137"/>
      <c r="F67" s="163"/>
      <c r="G67" s="137"/>
      <c r="H67" s="137"/>
      <c r="I67" s="164"/>
      <c r="J67" s="137"/>
      <c r="K67" s="163"/>
      <c r="L67" s="137"/>
      <c r="M67" s="137"/>
      <c r="N67" s="164"/>
      <c r="O67" s="137"/>
      <c r="P67" s="137"/>
      <c r="Q67" s="137"/>
      <c r="R67" s="137"/>
    </row>
    <row r="68" ht="23.2" spans="1:18">
      <c r="A68" s="163"/>
      <c r="B68" s="137"/>
      <c r="C68" s="137"/>
      <c r="D68" s="164"/>
      <c r="E68" s="137"/>
      <c r="F68" s="163"/>
      <c r="G68" s="137"/>
      <c r="H68" s="137"/>
      <c r="I68" s="164"/>
      <c r="J68" s="137"/>
      <c r="K68" s="163"/>
      <c r="L68" s="137"/>
      <c r="M68" s="137"/>
      <c r="N68" s="164"/>
      <c r="O68" s="137"/>
      <c r="P68" s="137"/>
      <c r="Q68" s="137"/>
      <c r="R68" s="137"/>
    </row>
    <row r="69" ht="23.2" spans="1:18">
      <c r="A69" s="163"/>
      <c r="B69" s="137"/>
      <c r="C69" s="137"/>
      <c r="D69" s="164"/>
      <c r="E69" s="137"/>
      <c r="F69" s="163"/>
      <c r="G69" s="137"/>
      <c r="H69" s="137"/>
      <c r="I69" s="164"/>
      <c r="J69" s="137"/>
      <c r="K69" s="163"/>
      <c r="L69" s="137"/>
      <c r="M69" s="137"/>
      <c r="N69" s="164"/>
      <c r="O69" s="137"/>
      <c r="P69" s="137"/>
      <c r="Q69" s="137"/>
      <c r="R69" s="137"/>
    </row>
    <row r="70" ht="23.2" spans="1:18">
      <c r="A70" s="163"/>
      <c r="B70" s="137"/>
      <c r="C70" s="137"/>
      <c r="D70" s="164"/>
      <c r="E70" s="137"/>
      <c r="F70" s="163"/>
      <c r="G70" s="137"/>
      <c r="H70" s="137"/>
      <c r="I70" s="164"/>
      <c r="J70" s="137"/>
      <c r="K70" s="163"/>
      <c r="L70" s="137"/>
      <c r="M70" s="137"/>
      <c r="N70" s="164"/>
      <c r="O70" s="137"/>
      <c r="P70" s="137"/>
      <c r="Q70" s="137"/>
      <c r="R70" s="137"/>
    </row>
    <row r="71" ht="23.2" spans="1:18">
      <c r="A71" s="163"/>
      <c r="B71" s="137"/>
      <c r="C71" s="137"/>
      <c r="D71" s="164"/>
      <c r="E71" s="137"/>
      <c r="F71" s="163"/>
      <c r="G71" s="137"/>
      <c r="H71" s="137"/>
      <c r="I71" s="164"/>
      <c r="J71" s="137"/>
      <c r="K71" s="163"/>
      <c r="L71" s="137"/>
      <c r="M71" s="137"/>
      <c r="N71" s="164"/>
      <c r="O71" s="137"/>
      <c r="P71" s="137"/>
      <c r="Q71" s="137"/>
      <c r="R71" s="137"/>
    </row>
    <row r="72" ht="23.2" spans="1:18">
      <c r="A72" s="163"/>
      <c r="B72" s="137"/>
      <c r="C72" s="137"/>
      <c r="D72" s="164"/>
      <c r="E72" s="137"/>
      <c r="F72" s="163"/>
      <c r="G72" s="137"/>
      <c r="H72" s="137"/>
      <c r="I72" s="164"/>
      <c r="J72" s="137"/>
      <c r="K72" s="163"/>
      <c r="L72" s="137"/>
      <c r="M72" s="137"/>
      <c r="N72" s="164"/>
      <c r="O72" s="137"/>
      <c r="P72" s="137"/>
      <c r="Q72" s="137"/>
      <c r="R72" s="137"/>
    </row>
    <row r="73" ht="23.2" spans="1:18">
      <c r="A73" s="163"/>
      <c r="B73" s="137"/>
      <c r="C73" s="137"/>
      <c r="D73" s="164"/>
      <c r="E73" s="137"/>
      <c r="F73" s="163"/>
      <c r="G73" s="137"/>
      <c r="H73" s="137"/>
      <c r="I73" s="164"/>
      <c r="J73" s="137"/>
      <c r="K73" s="163"/>
      <c r="L73" s="137"/>
      <c r="M73" s="137"/>
      <c r="N73" s="164"/>
      <c r="O73" s="137"/>
      <c r="P73" s="137"/>
      <c r="Q73" s="137"/>
      <c r="R73" s="137"/>
    </row>
    <row r="74" ht="23.2" spans="1:18">
      <c r="A74" s="163"/>
      <c r="B74" s="137"/>
      <c r="C74" s="137"/>
      <c r="D74" s="164"/>
      <c r="E74" s="137"/>
      <c r="F74" s="163"/>
      <c r="G74" s="137"/>
      <c r="H74" s="137"/>
      <c r="I74" s="164"/>
      <c r="J74" s="137"/>
      <c r="K74" s="163"/>
      <c r="L74" s="137"/>
      <c r="M74" s="137"/>
      <c r="N74" s="164"/>
      <c r="O74" s="137"/>
      <c r="P74" s="137"/>
      <c r="Q74" s="137"/>
      <c r="R74" s="137"/>
    </row>
    <row r="75" ht="23.2" spans="1:18">
      <c r="A75" s="163"/>
      <c r="B75" s="137"/>
      <c r="C75" s="137"/>
      <c r="D75" s="164"/>
      <c r="E75" s="137"/>
      <c r="F75" s="163"/>
      <c r="G75" s="137"/>
      <c r="H75" s="137"/>
      <c r="I75" s="164"/>
      <c r="J75" s="137"/>
      <c r="K75" s="163"/>
      <c r="L75" s="137"/>
      <c r="M75" s="137"/>
      <c r="N75" s="164"/>
      <c r="O75" s="137"/>
      <c r="P75" s="137"/>
      <c r="Q75" s="137"/>
      <c r="R75" s="137"/>
    </row>
    <row r="76" ht="23.2" spans="1:18">
      <c r="A76" s="163"/>
      <c r="B76" s="137"/>
      <c r="C76" s="137"/>
      <c r="D76" s="164"/>
      <c r="E76" s="137"/>
      <c r="F76" s="163"/>
      <c r="G76" s="137"/>
      <c r="H76" s="137"/>
      <c r="I76" s="164"/>
      <c r="J76" s="137"/>
      <c r="K76" s="163"/>
      <c r="L76" s="137"/>
      <c r="M76" s="137"/>
      <c r="N76" s="164"/>
      <c r="O76" s="137"/>
      <c r="P76" s="137"/>
      <c r="Q76" s="137"/>
      <c r="R76" s="137"/>
    </row>
    <row r="77" ht="23.2" spans="1:18">
      <c r="A77" s="163"/>
      <c r="B77" s="137"/>
      <c r="C77" s="137"/>
      <c r="D77" s="164"/>
      <c r="E77" s="137"/>
      <c r="F77" s="163"/>
      <c r="G77" s="137"/>
      <c r="H77" s="137"/>
      <c r="I77" s="164"/>
      <c r="J77" s="137"/>
      <c r="K77" s="163"/>
      <c r="L77" s="137"/>
      <c r="M77" s="137"/>
      <c r="N77" s="164"/>
      <c r="O77" s="137"/>
      <c r="P77" s="137"/>
      <c r="Q77" s="137"/>
      <c r="R77" s="137"/>
    </row>
    <row r="78" ht="23.2" spans="1:18">
      <c r="A78" s="163"/>
      <c r="B78" s="137"/>
      <c r="C78" s="137"/>
      <c r="D78" s="164"/>
      <c r="E78" s="137"/>
      <c r="F78" s="163"/>
      <c r="G78" s="137"/>
      <c r="H78" s="137"/>
      <c r="I78" s="164"/>
      <c r="J78" s="137"/>
      <c r="K78" s="163"/>
      <c r="L78" s="137"/>
      <c r="M78" s="137"/>
      <c r="N78" s="164"/>
      <c r="O78" s="137"/>
      <c r="P78" s="137"/>
      <c r="Q78" s="137"/>
      <c r="R78" s="137"/>
    </row>
    <row r="79" ht="23.2" spans="1:18">
      <c r="A79" s="163"/>
      <c r="B79" s="137"/>
      <c r="C79" s="137"/>
      <c r="D79" s="164"/>
      <c r="E79" s="137"/>
      <c r="F79" s="163"/>
      <c r="G79" s="137"/>
      <c r="H79" s="137"/>
      <c r="I79" s="164"/>
      <c r="J79" s="137"/>
      <c r="K79" s="163"/>
      <c r="L79" s="137"/>
      <c r="M79" s="137"/>
      <c r="N79" s="164"/>
      <c r="O79" s="137"/>
      <c r="P79" s="137"/>
      <c r="Q79" s="137"/>
      <c r="R79" s="137"/>
    </row>
    <row r="80" ht="23.2" spans="1:18">
      <c r="A80" s="163"/>
      <c r="B80" s="137"/>
      <c r="C80" s="137"/>
      <c r="D80" s="164"/>
      <c r="E80" s="137"/>
      <c r="F80" s="163"/>
      <c r="G80" s="137"/>
      <c r="H80" s="137"/>
      <c r="I80" s="164"/>
      <c r="J80" s="137"/>
      <c r="K80" s="163"/>
      <c r="L80" s="137"/>
      <c r="M80" s="137"/>
      <c r="N80" s="164"/>
      <c r="O80" s="137"/>
      <c r="P80" s="137"/>
      <c r="Q80" s="137"/>
      <c r="R80" s="137"/>
    </row>
    <row r="81" ht="23.2" spans="1:18">
      <c r="A81" s="163"/>
      <c r="B81" s="137"/>
      <c r="C81" s="137"/>
      <c r="D81" s="164"/>
      <c r="E81" s="137"/>
      <c r="F81" s="163"/>
      <c r="G81" s="137"/>
      <c r="H81" s="137"/>
      <c r="I81" s="164"/>
      <c r="J81" s="137"/>
      <c r="K81" s="163"/>
      <c r="L81" s="137"/>
      <c r="M81" s="137"/>
      <c r="N81" s="164"/>
      <c r="O81" s="137"/>
      <c r="P81" s="137"/>
      <c r="Q81" s="137"/>
      <c r="R81" s="137"/>
    </row>
    <row r="82" ht="23.2" spans="1:18">
      <c r="A82" s="163"/>
      <c r="B82" s="137"/>
      <c r="C82" s="137"/>
      <c r="D82" s="164"/>
      <c r="E82" s="137"/>
      <c r="F82" s="163"/>
      <c r="G82" s="137"/>
      <c r="H82" s="137"/>
      <c r="I82" s="164"/>
      <c r="J82" s="137"/>
      <c r="K82" s="163"/>
      <c r="L82" s="137"/>
      <c r="M82" s="137"/>
      <c r="N82" s="164"/>
      <c r="O82" s="137"/>
      <c r="P82" s="137"/>
      <c r="Q82" s="137"/>
      <c r="R82" s="137"/>
    </row>
    <row r="83" ht="23.2" spans="1:18">
      <c r="A83" s="163"/>
      <c r="B83" s="137"/>
      <c r="C83" s="137"/>
      <c r="D83" s="164"/>
      <c r="E83" s="137"/>
      <c r="F83" s="163"/>
      <c r="G83" s="137"/>
      <c r="H83" s="137"/>
      <c r="I83" s="164"/>
      <c r="J83" s="137"/>
      <c r="K83" s="163"/>
      <c r="L83" s="137"/>
      <c r="M83" s="137"/>
      <c r="N83" s="164"/>
      <c r="O83" s="137"/>
      <c r="P83" s="137"/>
      <c r="Q83" s="137"/>
      <c r="R83" s="137"/>
    </row>
    <row r="84" ht="23.2" spans="1:18">
      <c r="A84" s="163"/>
      <c r="B84" s="137"/>
      <c r="C84" s="137"/>
      <c r="D84" s="164"/>
      <c r="E84" s="137"/>
      <c r="F84" s="163"/>
      <c r="G84" s="137"/>
      <c r="H84" s="137"/>
      <c r="I84" s="164"/>
      <c r="J84" s="137"/>
      <c r="K84" s="163"/>
      <c r="L84" s="137"/>
      <c r="M84" s="137"/>
      <c r="N84" s="164"/>
      <c r="O84" s="137"/>
      <c r="P84" s="137"/>
      <c r="Q84" s="137"/>
      <c r="R84" s="137"/>
    </row>
    <row r="85" ht="23.2" spans="1:18">
      <c r="A85" s="163"/>
      <c r="B85" s="137"/>
      <c r="C85" s="137"/>
      <c r="D85" s="164"/>
      <c r="E85" s="137"/>
      <c r="F85" s="163"/>
      <c r="G85" s="137"/>
      <c r="H85" s="137"/>
      <c r="I85" s="164"/>
      <c r="J85" s="137"/>
      <c r="K85" s="163"/>
      <c r="L85" s="137"/>
      <c r="M85" s="137"/>
      <c r="N85" s="164"/>
      <c r="O85" s="137"/>
      <c r="P85" s="137"/>
      <c r="Q85" s="137"/>
      <c r="R85" s="137"/>
    </row>
    <row r="86" ht="23.2" spans="1:18">
      <c r="A86" s="163"/>
      <c r="B86" s="137"/>
      <c r="C86" s="137"/>
      <c r="D86" s="164"/>
      <c r="E86" s="137"/>
      <c r="F86" s="163"/>
      <c r="G86" s="137"/>
      <c r="H86" s="137"/>
      <c r="I86" s="164"/>
      <c r="J86" s="137"/>
      <c r="K86" s="163"/>
      <c r="L86" s="137"/>
      <c r="M86" s="137"/>
      <c r="N86" s="164"/>
      <c r="O86" s="137"/>
      <c r="P86" s="137"/>
      <c r="Q86" s="137"/>
      <c r="R86" s="137"/>
    </row>
    <row r="87" ht="23.2" spans="1:18">
      <c r="A87" s="163"/>
      <c r="B87" s="137"/>
      <c r="C87" s="137"/>
      <c r="D87" s="164"/>
      <c r="E87" s="137"/>
      <c r="F87" s="163"/>
      <c r="G87" s="137"/>
      <c r="H87" s="137"/>
      <c r="I87" s="164"/>
      <c r="J87" s="137"/>
      <c r="K87" s="163"/>
      <c r="L87" s="137"/>
      <c r="M87" s="137"/>
      <c r="N87" s="164"/>
      <c r="O87" s="137"/>
      <c r="P87" s="137"/>
      <c r="Q87" s="137"/>
      <c r="R87" s="137"/>
    </row>
    <row r="88" ht="23.2" spans="1:18">
      <c r="A88" s="163"/>
      <c r="B88" s="137"/>
      <c r="C88" s="137"/>
      <c r="D88" s="164"/>
      <c r="E88" s="137"/>
      <c r="F88" s="163"/>
      <c r="G88" s="137"/>
      <c r="H88" s="137"/>
      <c r="I88" s="164"/>
      <c r="J88" s="137"/>
      <c r="K88" s="163"/>
      <c r="L88" s="137"/>
      <c r="M88" s="137"/>
      <c r="N88" s="164"/>
      <c r="O88" s="137"/>
      <c r="P88" s="137"/>
      <c r="Q88" s="137"/>
      <c r="R88" s="137"/>
    </row>
    <row r="89" ht="23.2" spans="1:18">
      <c r="A89" s="163"/>
      <c r="B89" s="137"/>
      <c r="C89" s="137"/>
      <c r="D89" s="164"/>
      <c r="E89" s="137"/>
      <c r="F89" s="163"/>
      <c r="G89" s="137"/>
      <c r="H89" s="137"/>
      <c r="I89" s="164"/>
      <c r="J89" s="137"/>
      <c r="K89" s="163"/>
      <c r="L89" s="137"/>
      <c r="M89" s="137"/>
      <c r="N89" s="164"/>
      <c r="O89" s="137"/>
      <c r="P89" s="137"/>
      <c r="Q89" s="137"/>
      <c r="R89" s="137"/>
    </row>
    <row r="90" ht="23.2" spans="1:18">
      <c r="A90" s="163"/>
      <c r="B90" s="137"/>
      <c r="C90" s="137"/>
      <c r="D90" s="164"/>
      <c r="E90" s="137"/>
      <c r="F90" s="163"/>
      <c r="G90" s="137"/>
      <c r="H90" s="137"/>
      <c r="I90" s="164"/>
      <c r="J90" s="137"/>
      <c r="K90" s="163"/>
      <c r="L90" s="137"/>
      <c r="M90" s="137"/>
      <c r="N90" s="164"/>
      <c r="O90" s="137"/>
      <c r="P90" s="137"/>
      <c r="Q90" s="137"/>
      <c r="R90" s="137"/>
    </row>
    <row r="91" ht="23.2" spans="1:18">
      <c r="A91" s="163"/>
      <c r="B91" s="137"/>
      <c r="C91" s="137"/>
      <c r="D91" s="164"/>
      <c r="E91" s="137"/>
      <c r="F91" s="163"/>
      <c r="G91" s="137"/>
      <c r="H91" s="137"/>
      <c r="I91" s="164"/>
      <c r="J91" s="137"/>
      <c r="K91" s="163"/>
      <c r="L91" s="137"/>
      <c r="M91" s="137"/>
      <c r="N91" s="164"/>
      <c r="O91" s="137"/>
      <c r="P91" s="137"/>
      <c r="Q91" s="137"/>
      <c r="R91" s="137"/>
    </row>
    <row r="92" ht="23.2" spans="1:18">
      <c r="A92" s="163"/>
      <c r="B92" s="137"/>
      <c r="C92" s="137"/>
      <c r="D92" s="164"/>
      <c r="E92" s="137"/>
      <c r="F92" s="163"/>
      <c r="G92" s="137"/>
      <c r="H92" s="137"/>
      <c r="I92" s="164"/>
      <c r="J92" s="137"/>
      <c r="K92" s="163"/>
      <c r="L92" s="137"/>
      <c r="M92" s="137"/>
      <c r="N92" s="164"/>
      <c r="O92" s="137"/>
      <c r="P92" s="137"/>
      <c r="Q92" s="137"/>
      <c r="R92" s="137"/>
    </row>
    <row r="93" ht="23.2" spans="1:18">
      <c r="A93" s="163"/>
      <c r="B93" s="137"/>
      <c r="C93" s="137"/>
      <c r="D93" s="164"/>
      <c r="E93" s="137"/>
      <c r="F93" s="163"/>
      <c r="G93" s="137"/>
      <c r="H93" s="137"/>
      <c r="I93" s="164"/>
      <c r="J93" s="137"/>
      <c r="K93" s="163"/>
      <c r="L93" s="137"/>
      <c r="M93" s="137"/>
      <c r="N93" s="164"/>
      <c r="O93" s="137"/>
      <c r="P93" s="137"/>
      <c r="Q93" s="137"/>
      <c r="R93" s="137"/>
    </row>
    <row r="94" ht="23.2" spans="1:18">
      <c r="A94" s="163"/>
      <c r="B94" s="137"/>
      <c r="C94" s="137"/>
      <c r="D94" s="164"/>
      <c r="E94" s="137"/>
      <c r="F94" s="163"/>
      <c r="G94" s="137"/>
      <c r="H94" s="137"/>
      <c r="I94" s="164"/>
      <c r="J94" s="137"/>
      <c r="K94" s="163"/>
      <c r="L94" s="137"/>
      <c r="M94" s="137"/>
      <c r="N94" s="164"/>
      <c r="O94" s="137"/>
      <c r="P94" s="137"/>
      <c r="Q94" s="137"/>
      <c r="R94" s="137"/>
    </row>
    <row r="95" ht="23.2" spans="1:18">
      <c r="A95" s="163"/>
      <c r="B95" s="137"/>
      <c r="C95" s="137"/>
      <c r="D95" s="164"/>
      <c r="E95" s="137"/>
      <c r="F95" s="163"/>
      <c r="G95" s="137"/>
      <c r="H95" s="137"/>
      <c r="I95" s="164"/>
      <c r="J95" s="137"/>
      <c r="K95" s="163"/>
      <c r="L95" s="137"/>
      <c r="M95" s="137"/>
      <c r="N95" s="164"/>
      <c r="O95" s="137"/>
      <c r="P95" s="137"/>
      <c r="Q95" s="137"/>
      <c r="R95" s="137"/>
    </row>
    <row r="96" ht="23.2" spans="1:18">
      <c r="A96" s="163"/>
      <c r="B96" s="137"/>
      <c r="C96" s="137"/>
      <c r="D96" s="164"/>
      <c r="E96" s="137"/>
      <c r="F96" s="163"/>
      <c r="G96" s="137"/>
      <c r="H96" s="137"/>
      <c r="I96" s="164"/>
      <c r="J96" s="137"/>
      <c r="K96" s="163"/>
      <c r="L96" s="137"/>
      <c r="M96" s="137"/>
      <c r="N96" s="164"/>
      <c r="O96" s="137"/>
      <c r="P96" s="137"/>
      <c r="Q96" s="137"/>
      <c r="R96" s="137"/>
    </row>
    <row r="97" ht="23.2" spans="1:18">
      <c r="A97" s="163"/>
      <c r="B97" s="137"/>
      <c r="C97" s="137"/>
      <c r="D97" s="164"/>
      <c r="E97" s="137"/>
      <c r="F97" s="163"/>
      <c r="G97" s="137"/>
      <c r="H97" s="137"/>
      <c r="I97" s="164"/>
      <c r="J97" s="137"/>
      <c r="K97" s="163"/>
      <c r="L97" s="137"/>
      <c r="M97" s="137"/>
      <c r="N97" s="164"/>
      <c r="O97" s="137"/>
      <c r="P97" s="137"/>
      <c r="Q97" s="137"/>
      <c r="R97" s="137"/>
    </row>
    <row r="98" ht="23.2" spans="1:18">
      <c r="A98" s="163"/>
      <c r="B98" s="137"/>
      <c r="C98" s="137"/>
      <c r="D98" s="164"/>
      <c r="E98" s="137"/>
      <c r="F98" s="163"/>
      <c r="G98" s="137"/>
      <c r="H98" s="137"/>
      <c r="I98" s="164"/>
      <c r="J98" s="137"/>
      <c r="K98" s="163"/>
      <c r="L98" s="137"/>
      <c r="M98" s="137"/>
      <c r="N98" s="164"/>
      <c r="O98" s="137"/>
      <c r="P98" s="137"/>
      <c r="Q98" s="137"/>
      <c r="R98" s="137"/>
    </row>
    <row r="99" ht="23.2" spans="1:18">
      <c r="A99" s="163"/>
      <c r="B99" s="137"/>
      <c r="C99" s="137"/>
      <c r="D99" s="164"/>
      <c r="E99" s="137"/>
      <c r="F99" s="163"/>
      <c r="G99" s="137"/>
      <c r="H99" s="137"/>
      <c r="I99" s="164"/>
      <c r="J99" s="137"/>
      <c r="K99" s="163"/>
      <c r="L99" s="137"/>
      <c r="M99" s="137"/>
      <c r="N99" s="164"/>
      <c r="O99" s="137"/>
      <c r="P99" s="137"/>
      <c r="Q99" s="137"/>
      <c r="R99" s="137"/>
    </row>
    <row r="100" ht="23.2" spans="1:18">
      <c r="A100" s="163"/>
      <c r="B100" s="137"/>
      <c r="C100" s="137"/>
      <c r="D100" s="164"/>
      <c r="E100" s="137"/>
      <c r="F100" s="163"/>
      <c r="G100" s="137"/>
      <c r="H100" s="137"/>
      <c r="I100" s="164"/>
      <c r="J100" s="137"/>
      <c r="K100" s="163"/>
      <c r="L100" s="137"/>
      <c r="M100" s="137"/>
      <c r="N100" s="164"/>
      <c r="O100" s="137"/>
      <c r="P100" s="137"/>
      <c r="Q100" s="137"/>
      <c r="R100" s="137"/>
    </row>
    <row r="101" ht="23.2" spans="1:18">
      <c r="A101" s="163"/>
      <c r="B101" s="137"/>
      <c r="C101" s="137"/>
      <c r="D101" s="164"/>
      <c r="E101" s="137"/>
      <c r="F101" s="163"/>
      <c r="G101" s="137"/>
      <c r="H101" s="137"/>
      <c r="I101" s="164"/>
      <c r="J101" s="137"/>
      <c r="K101" s="163"/>
      <c r="L101" s="137"/>
      <c r="M101" s="137"/>
      <c r="N101" s="164"/>
      <c r="O101" s="137"/>
      <c r="P101" s="137"/>
      <c r="Q101" s="137"/>
      <c r="R101" s="137"/>
    </row>
    <row r="102" ht="23.2" spans="1:18">
      <c r="A102" s="163"/>
      <c r="B102" s="137"/>
      <c r="C102" s="137"/>
      <c r="D102" s="164"/>
      <c r="E102" s="137"/>
      <c r="F102" s="163"/>
      <c r="G102" s="137"/>
      <c r="H102" s="137"/>
      <c r="I102" s="164"/>
      <c r="J102" s="137"/>
      <c r="K102" s="163"/>
      <c r="L102" s="137"/>
      <c r="M102" s="137"/>
      <c r="N102" s="164"/>
      <c r="O102" s="137"/>
      <c r="P102" s="137"/>
      <c r="Q102" s="137"/>
      <c r="R102" s="137"/>
    </row>
    <row r="103" ht="23.2" spans="1:18">
      <c r="A103" s="163"/>
      <c r="B103" s="137"/>
      <c r="C103" s="137"/>
      <c r="D103" s="164"/>
      <c r="E103" s="137"/>
      <c r="F103" s="163"/>
      <c r="G103" s="137"/>
      <c r="H103" s="137"/>
      <c r="I103" s="164"/>
      <c r="J103" s="137"/>
      <c r="K103" s="163"/>
      <c r="L103" s="137"/>
      <c r="M103" s="137"/>
      <c r="N103" s="164"/>
      <c r="O103" s="137"/>
      <c r="P103" s="137"/>
      <c r="Q103" s="137"/>
      <c r="R103" s="137"/>
    </row>
    <row r="104" ht="23.2" spans="1:18">
      <c r="A104" s="163"/>
      <c r="B104" s="137"/>
      <c r="C104" s="137"/>
      <c r="D104" s="164"/>
      <c r="E104" s="137"/>
      <c r="F104" s="163"/>
      <c r="G104" s="137"/>
      <c r="H104" s="137"/>
      <c r="I104" s="164"/>
      <c r="J104" s="137"/>
      <c r="K104" s="163"/>
      <c r="L104" s="137"/>
      <c r="M104" s="137"/>
      <c r="N104" s="164"/>
      <c r="O104" s="137"/>
      <c r="P104" s="137"/>
      <c r="Q104" s="137"/>
      <c r="R104" s="137"/>
    </row>
    <row r="105" ht="23.2" spans="1:18">
      <c r="A105" s="163"/>
      <c r="B105" s="137"/>
      <c r="C105" s="137"/>
      <c r="D105" s="164"/>
      <c r="E105" s="137"/>
      <c r="F105" s="163"/>
      <c r="G105" s="137"/>
      <c r="H105" s="137"/>
      <c r="I105" s="164"/>
      <c r="J105" s="137"/>
      <c r="K105" s="163"/>
      <c r="L105" s="137"/>
      <c r="M105" s="137"/>
      <c r="N105" s="164"/>
      <c r="O105" s="137"/>
      <c r="P105" s="137"/>
      <c r="Q105" s="137"/>
      <c r="R105" s="137"/>
    </row>
    <row r="106" ht="23.2" spans="1:18">
      <c r="A106" s="163"/>
      <c r="B106" s="137"/>
      <c r="C106" s="137"/>
      <c r="D106" s="164"/>
      <c r="E106" s="137"/>
      <c r="F106" s="163"/>
      <c r="G106" s="137"/>
      <c r="H106" s="137"/>
      <c r="I106" s="164"/>
      <c r="J106" s="137"/>
      <c r="K106" s="163"/>
      <c r="L106" s="137"/>
      <c r="M106" s="137"/>
      <c r="N106" s="164"/>
      <c r="O106" s="137"/>
      <c r="P106" s="137"/>
      <c r="Q106" s="137"/>
      <c r="R106" s="137"/>
    </row>
    <row r="107" ht="23.2" spans="1:18">
      <c r="A107" s="163"/>
      <c r="B107" s="137"/>
      <c r="C107" s="137"/>
      <c r="D107" s="164"/>
      <c r="E107" s="137"/>
      <c r="F107" s="163"/>
      <c r="G107" s="137"/>
      <c r="H107" s="137"/>
      <c r="I107" s="164"/>
      <c r="J107" s="137"/>
      <c r="K107" s="163"/>
      <c r="L107" s="137"/>
      <c r="M107" s="137"/>
      <c r="N107" s="164"/>
      <c r="O107" s="137"/>
      <c r="P107" s="137"/>
      <c r="Q107" s="137"/>
      <c r="R107" s="137"/>
    </row>
    <row r="108" ht="23.2" spans="1:18">
      <c r="A108" s="163"/>
      <c r="B108" s="137"/>
      <c r="C108" s="137"/>
      <c r="D108" s="164"/>
      <c r="E108" s="137"/>
      <c r="F108" s="163"/>
      <c r="G108" s="137"/>
      <c r="H108" s="137"/>
      <c r="I108" s="164"/>
      <c r="J108" s="137"/>
      <c r="K108" s="163"/>
      <c r="L108" s="137"/>
      <c r="M108" s="137"/>
      <c r="N108" s="164"/>
      <c r="O108" s="137"/>
      <c r="P108" s="137"/>
      <c r="Q108" s="137"/>
      <c r="R108" s="137"/>
    </row>
    <row r="109" ht="23.2" spans="1:18">
      <c r="A109" s="163"/>
      <c r="B109" s="137"/>
      <c r="C109" s="137"/>
      <c r="D109" s="164"/>
      <c r="E109" s="137"/>
      <c r="F109" s="163"/>
      <c r="G109" s="137"/>
      <c r="H109" s="137"/>
      <c r="I109" s="164"/>
      <c r="J109" s="137"/>
      <c r="K109" s="163"/>
      <c r="L109" s="137"/>
      <c r="M109" s="137"/>
      <c r="N109" s="164"/>
      <c r="O109" s="137"/>
      <c r="P109" s="137"/>
      <c r="Q109" s="137"/>
      <c r="R109" s="137"/>
    </row>
    <row r="110" ht="23.2" spans="1:18">
      <c r="A110" s="163"/>
      <c r="B110" s="137"/>
      <c r="C110" s="137"/>
      <c r="D110" s="164"/>
      <c r="E110" s="137"/>
      <c r="F110" s="163"/>
      <c r="G110" s="137"/>
      <c r="H110" s="137"/>
      <c r="I110" s="164"/>
      <c r="J110" s="137"/>
      <c r="K110" s="163"/>
      <c r="L110" s="137"/>
      <c r="M110" s="137"/>
      <c r="N110" s="164"/>
      <c r="O110" s="137"/>
      <c r="P110" s="137"/>
      <c r="Q110" s="137"/>
      <c r="R110" s="137"/>
    </row>
    <row r="111" ht="23.2" spans="1:18">
      <c r="A111" s="163"/>
      <c r="B111" s="137"/>
      <c r="C111" s="137"/>
      <c r="D111" s="164"/>
      <c r="E111" s="137"/>
      <c r="F111" s="163"/>
      <c r="G111" s="137"/>
      <c r="H111" s="137"/>
      <c r="I111" s="164"/>
      <c r="J111" s="137"/>
      <c r="K111" s="163"/>
      <c r="L111" s="137"/>
      <c r="M111" s="137"/>
      <c r="N111" s="164"/>
      <c r="O111" s="137"/>
      <c r="P111" s="137"/>
      <c r="Q111" s="137"/>
      <c r="R111" s="137"/>
    </row>
    <row r="112" ht="23.2" spans="1:18">
      <c r="A112" s="163"/>
      <c r="B112" s="137"/>
      <c r="C112" s="137"/>
      <c r="D112" s="164"/>
      <c r="E112" s="137"/>
      <c r="F112" s="163"/>
      <c r="G112" s="137"/>
      <c r="H112" s="137"/>
      <c r="I112" s="164"/>
      <c r="J112" s="137"/>
      <c r="K112" s="163"/>
      <c r="L112" s="137"/>
      <c r="M112" s="137"/>
      <c r="N112" s="164"/>
      <c r="O112" s="137"/>
      <c r="P112" s="137"/>
      <c r="Q112" s="137"/>
      <c r="R112" s="137"/>
    </row>
    <row r="113" ht="23.2" spans="1:18">
      <c r="A113" s="163"/>
      <c r="B113" s="137"/>
      <c r="C113" s="137"/>
      <c r="D113" s="164"/>
      <c r="E113" s="137"/>
      <c r="F113" s="163"/>
      <c r="G113" s="137"/>
      <c r="H113" s="137"/>
      <c r="I113" s="164"/>
      <c r="J113" s="137"/>
      <c r="K113" s="163"/>
      <c r="L113" s="137"/>
      <c r="M113" s="137"/>
      <c r="N113" s="164"/>
      <c r="O113" s="137"/>
      <c r="P113" s="137"/>
      <c r="Q113" s="137"/>
      <c r="R113" s="137"/>
    </row>
    <row r="114" ht="23.2" spans="1:18">
      <c r="A114" s="163"/>
      <c r="B114" s="137"/>
      <c r="C114" s="137"/>
      <c r="D114" s="164"/>
      <c r="E114" s="137"/>
      <c r="F114" s="163"/>
      <c r="G114" s="137"/>
      <c r="H114" s="137"/>
      <c r="I114" s="164"/>
      <c r="J114" s="137"/>
      <c r="K114" s="163"/>
      <c r="L114" s="137"/>
      <c r="M114" s="137"/>
      <c r="N114" s="164"/>
      <c r="O114" s="137"/>
      <c r="P114" s="137"/>
      <c r="Q114" s="137"/>
      <c r="R114" s="137"/>
    </row>
    <row r="115" ht="23.2" spans="1:18">
      <c r="A115" s="163"/>
      <c r="B115" s="137"/>
      <c r="C115" s="137"/>
      <c r="D115" s="164"/>
      <c r="E115" s="137"/>
      <c r="F115" s="163"/>
      <c r="G115" s="137"/>
      <c r="H115" s="137"/>
      <c r="I115" s="164"/>
      <c r="J115" s="137"/>
      <c r="K115" s="163"/>
      <c r="L115" s="137"/>
      <c r="M115" s="137"/>
      <c r="N115" s="164"/>
      <c r="O115" s="137"/>
      <c r="P115" s="137"/>
      <c r="Q115" s="137"/>
      <c r="R115" s="137"/>
    </row>
    <row r="116" ht="23.2" spans="1:18">
      <c r="A116" s="163"/>
      <c r="B116" s="137"/>
      <c r="C116" s="137"/>
      <c r="D116" s="164"/>
      <c r="E116" s="137"/>
      <c r="F116" s="163"/>
      <c r="G116" s="137"/>
      <c r="H116" s="137"/>
      <c r="I116" s="164"/>
      <c r="J116" s="137"/>
      <c r="K116" s="163"/>
      <c r="L116" s="137"/>
      <c r="M116" s="137"/>
      <c r="N116" s="164"/>
      <c r="O116" s="137"/>
      <c r="P116" s="137"/>
      <c r="Q116" s="137"/>
      <c r="R116" s="137"/>
    </row>
    <row r="117" ht="23.2" spans="1:18">
      <c r="A117" s="163"/>
      <c r="B117" s="137"/>
      <c r="C117" s="137"/>
      <c r="D117" s="164"/>
      <c r="E117" s="137"/>
      <c r="F117" s="163"/>
      <c r="G117" s="137"/>
      <c r="H117" s="137"/>
      <c r="I117" s="164"/>
      <c r="J117" s="137"/>
      <c r="K117" s="163"/>
      <c r="L117" s="137"/>
      <c r="M117" s="137"/>
      <c r="N117" s="164"/>
      <c r="O117" s="137"/>
      <c r="P117" s="137"/>
      <c r="Q117" s="137"/>
      <c r="R117" s="137"/>
    </row>
    <row r="118" ht="23.2" spans="1:18">
      <c r="A118" s="163"/>
      <c r="B118" s="137"/>
      <c r="C118" s="137"/>
      <c r="D118" s="164"/>
      <c r="E118" s="137"/>
      <c r="F118" s="163"/>
      <c r="G118" s="137"/>
      <c r="H118" s="137"/>
      <c r="I118" s="164"/>
      <c r="J118" s="137"/>
      <c r="K118" s="163"/>
      <c r="L118" s="137"/>
      <c r="M118" s="137"/>
      <c r="N118" s="164"/>
      <c r="O118" s="137"/>
      <c r="P118" s="137"/>
      <c r="Q118" s="137"/>
      <c r="R118" s="137"/>
    </row>
    <row r="119" ht="23.2" spans="1:18">
      <c r="A119" s="163"/>
      <c r="B119" s="137"/>
      <c r="C119" s="137"/>
      <c r="D119" s="164"/>
      <c r="E119" s="137"/>
      <c r="F119" s="163"/>
      <c r="G119" s="137"/>
      <c r="H119" s="137"/>
      <c r="I119" s="164"/>
      <c r="J119" s="137"/>
      <c r="K119" s="163"/>
      <c r="L119" s="137"/>
      <c r="M119" s="137"/>
      <c r="N119" s="164"/>
      <c r="O119" s="137"/>
      <c r="P119" s="137"/>
      <c r="Q119" s="137"/>
      <c r="R119" s="137"/>
    </row>
    <row r="120" ht="23.2" spans="1:18">
      <c r="A120" s="163"/>
      <c r="B120" s="137"/>
      <c r="C120" s="137"/>
      <c r="D120" s="164"/>
      <c r="E120" s="137"/>
      <c r="F120" s="163"/>
      <c r="G120" s="137"/>
      <c r="H120" s="137"/>
      <c r="I120" s="164"/>
      <c r="J120" s="137"/>
      <c r="K120" s="163"/>
      <c r="L120" s="137"/>
      <c r="M120" s="137"/>
      <c r="N120" s="164"/>
      <c r="O120" s="137"/>
      <c r="P120" s="137"/>
      <c r="Q120" s="137"/>
      <c r="R120" s="137"/>
    </row>
    <row r="121" ht="23.2" spans="1:18">
      <c r="A121" s="163"/>
      <c r="B121" s="137"/>
      <c r="C121" s="137"/>
      <c r="D121" s="164"/>
      <c r="E121" s="137"/>
      <c r="F121" s="163"/>
      <c r="G121" s="137"/>
      <c r="H121" s="137"/>
      <c r="I121" s="164"/>
      <c r="J121" s="137"/>
      <c r="K121" s="163"/>
      <c r="L121" s="137"/>
      <c r="M121" s="137"/>
      <c r="N121" s="164"/>
      <c r="O121" s="137"/>
      <c r="P121" s="137"/>
      <c r="Q121" s="137"/>
      <c r="R121" s="137"/>
    </row>
    <row r="122" ht="23.2" spans="1:18">
      <c r="A122" s="163"/>
      <c r="B122" s="137"/>
      <c r="C122" s="137"/>
      <c r="D122" s="164"/>
      <c r="E122" s="137"/>
      <c r="F122" s="163"/>
      <c r="G122" s="137"/>
      <c r="H122" s="137"/>
      <c r="I122" s="164"/>
      <c r="J122" s="137"/>
      <c r="K122" s="163"/>
      <c r="L122" s="137"/>
      <c r="M122" s="137"/>
      <c r="N122" s="164"/>
      <c r="O122" s="137"/>
      <c r="P122" s="137"/>
      <c r="Q122" s="137"/>
      <c r="R122" s="137"/>
    </row>
    <row r="123" ht="23.2" spans="1:18">
      <c r="A123" s="163"/>
      <c r="B123" s="137"/>
      <c r="C123" s="137"/>
      <c r="D123" s="164"/>
      <c r="E123" s="137"/>
      <c r="F123" s="163"/>
      <c r="G123" s="137"/>
      <c r="H123" s="137"/>
      <c r="I123" s="164"/>
      <c r="J123" s="137"/>
      <c r="K123" s="163"/>
      <c r="L123" s="137"/>
      <c r="M123" s="137"/>
      <c r="N123" s="164"/>
      <c r="O123" s="137"/>
      <c r="P123" s="137"/>
      <c r="Q123" s="137"/>
      <c r="R123" s="137"/>
    </row>
    <row r="124" ht="23.2" spans="1:18">
      <c r="A124" s="163"/>
      <c r="B124" s="137"/>
      <c r="C124" s="137"/>
      <c r="D124" s="164"/>
      <c r="E124" s="137"/>
      <c r="F124" s="163"/>
      <c r="G124" s="137"/>
      <c r="H124" s="137"/>
      <c r="I124" s="164"/>
      <c r="J124" s="137"/>
      <c r="K124" s="163"/>
      <c r="L124" s="137"/>
      <c r="M124" s="137"/>
      <c r="N124" s="164"/>
      <c r="O124" s="137"/>
      <c r="P124" s="137"/>
      <c r="Q124" s="137"/>
      <c r="R124" s="137"/>
    </row>
    <row r="125" ht="23.2" spans="1:18">
      <c r="A125" s="163"/>
      <c r="B125" s="137"/>
      <c r="C125" s="137"/>
      <c r="D125" s="164"/>
      <c r="E125" s="137"/>
      <c r="F125" s="163"/>
      <c r="G125" s="137"/>
      <c r="H125" s="137"/>
      <c r="I125" s="164"/>
      <c r="J125" s="137"/>
      <c r="K125" s="163"/>
      <c r="L125" s="137"/>
      <c r="M125" s="137"/>
      <c r="N125" s="164"/>
      <c r="O125" s="137"/>
      <c r="P125" s="137"/>
      <c r="Q125" s="137"/>
      <c r="R125" s="137"/>
    </row>
    <row r="126" ht="23.2" spans="1:18">
      <c r="A126" s="163"/>
      <c r="B126" s="137"/>
      <c r="C126" s="137"/>
      <c r="D126" s="164"/>
      <c r="E126" s="137"/>
      <c r="F126" s="163"/>
      <c r="G126" s="137"/>
      <c r="H126" s="137"/>
      <c r="I126" s="164"/>
      <c r="J126" s="137"/>
      <c r="K126" s="163"/>
      <c r="L126" s="137"/>
      <c r="M126" s="137"/>
      <c r="N126" s="164"/>
      <c r="O126" s="137"/>
      <c r="P126" s="137"/>
      <c r="Q126" s="137"/>
      <c r="R126" s="137"/>
    </row>
    <row r="127" ht="23.2" spans="1:18">
      <c r="A127" s="163"/>
      <c r="B127" s="137"/>
      <c r="C127" s="137"/>
      <c r="D127" s="164"/>
      <c r="E127" s="137"/>
      <c r="F127" s="163"/>
      <c r="G127" s="137"/>
      <c r="H127" s="137"/>
      <c r="I127" s="164"/>
      <c r="J127" s="137"/>
      <c r="K127" s="163"/>
      <c r="L127" s="137"/>
      <c r="M127" s="137"/>
      <c r="N127" s="164"/>
      <c r="O127" s="137"/>
      <c r="P127" s="137"/>
      <c r="Q127" s="137"/>
      <c r="R127" s="137"/>
    </row>
    <row r="128" ht="23.2" spans="1:18">
      <c r="A128" s="163"/>
      <c r="B128" s="137"/>
      <c r="C128" s="137"/>
      <c r="D128" s="164"/>
      <c r="E128" s="137"/>
      <c r="F128" s="163"/>
      <c r="G128" s="137"/>
      <c r="H128" s="137"/>
      <c r="I128" s="164"/>
      <c r="J128" s="137"/>
      <c r="K128" s="163"/>
      <c r="L128" s="137"/>
      <c r="M128" s="137"/>
      <c r="N128" s="164"/>
      <c r="O128" s="137"/>
      <c r="P128" s="137"/>
      <c r="Q128" s="137"/>
      <c r="R128" s="137"/>
    </row>
    <row r="129" ht="23.2" spans="1:18">
      <c r="A129" s="163"/>
      <c r="B129" s="137"/>
      <c r="C129" s="137"/>
      <c r="D129" s="164"/>
      <c r="E129" s="137"/>
      <c r="F129" s="163"/>
      <c r="G129" s="137"/>
      <c r="H129" s="137"/>
      <c r="I129" s="164"/>
      <c r="J129" s="137"/>
      <c r="K129" s="163"/>
      <c r="L129" s="137"/>
      <c r="M129" s="137"/>
      <c r="N129" s="164"/>
      <c r="O129" s="137"/>
      <c r="P129" s="137"/>
      <c r="Q129" s="137"/>
      <c r="R129" s="137"/>
    </row>
    <row r="130" ht="23.2" spans="1:18">
      <c r="A130" s="163"/>
      <c r="B130" s="137"/>
      <c r="C130" s="137"/>
      <c r="D130" s="164"/>
      <c r="E130" s="137"/>
      <c r="F130" s="163"/>
      <c r="G130" s="137"/>
      <c r="H130" s="137"/>
      <c r="I130" s="164"/>
      <c r="J130" s="137"/>
      <c r="K130" s="163"/>
      <c r="L130" s="137"/>
      <c r="M130" s="137"/>
      <c r="N130" s="164"/>
      <c r="O130" s="137"/>
      <c r="P130" s="137"/>
      <c r="Q130" s="137"/>
      <c r="R130" s="137"/>
    </row>
    <row r="131" ht="23.2" spans="1:18">
      <c r="A131" s="163"/>
      <c r="B131" s="137"/>
      <c r="C131" s="137"/>
      <c r="D131" s="164"/>
      <c r="E131" s="137"/>
      <c r="F131" s="163"/>
      <c r="G131" s="137"/>
      <c r="H131" s="137"/>
      <c r="I131" s="164"/>
      <c r="J131" s="137"/>
      <c r="K131" s="163"/>
      <c r="L131" s="137"/>
      <c r="M131" s="137"/>
      <c r="N131" s="164"/>
      <c r="O131" s="137"/>
      <c r="P131" s="137"/>
      <c r="Q131" s="137"/>
      <c r="R131" s="137"/>
    </row>
    <row r="132" ht="23.2" spans="1:18">
      <c r="A132" s="163"/>
      <c r="B132" s="137"/>
      <c r="C132" s="137"/>
      <c r="D132" s="164"/>
      <c r="E132" s="137"/>
      <c r="F132" s="163"/>
      <c r="G132" s="137"/>
      <c r="H132" s="137"/>
      <c r="I132" s="164"/>
      <c r="J132" s="137"/>
      <c r="K132" s="163"/>
      <c r="L132" s="137"/>
      <c r="M132" s="137"/>
      <c r="N132" s="164"/>
      <c r="O132" s="137"/>
      <c r="P132" s="137"/>
      <c r="Q132" s="137"/>
      <c r="R132" s="137"/>
    </row>
    <row r="133" ht="23.2" spans="1:18">
      <c r="A133" s="163"/>
      <c r="B133" s="137"/>
      <c r="C133" s="137"/>
      <c r="D133" s="164"/>
      <c r="E133" s="137"/>
      <c r="F133" s="163"/>
      <c r="G133" s="137"/>
      <c r="H133" s="137"/>
      <c r="I133" s="164"/>
      <c r="J133" s="137"/>
      <c r="K133" s="163"/>
      <c r="L133" s="137"/>
      <c r="M133" s="137"/>
      <c r="N133" s="164"/>
      <c r="O133" s="137"/>
      <c r="P133" s="137"/>
      <c r="Q133" s="137"/>
      <c r="R133" s="137"/>
    </row>
    <row r="134" ht="23.2" spans="1:18">
      <c r="A134" s="163"/>
      <c r="B134" s="137"/>
      <c r="C134" s="137"/>
      <c r="D134" s="164"/>
      <c r="E134" s="137"/>
      <c r="F134" s="163"/>
      <c r="G134" s="137"/>
      <c r="H134" s="137"/>
      <c r="I134" s="164"/>
      <c r="J134" s="137"/>
      <c r="K134" s="163"/>
      <c r="L134" s="137"/>
      <c r="M134" s="137"/>
      <c r="N134" s="164"/>
      <c r="O134" s="137"/>
      <c r="P134" s="137"/>
      <c r="Q134" s="137"/>
      <c r="R134" s="137"/>
    </row>
    <row r="135" ht="23.2" spans="1:18">
      <c r="A135" s="163"/>
      <c r="B135" s="137"/>
      <c r="C135" s="137"/>
      <c r="D135" s="164"/>
      <c r="E135" s="137"/>
      <c r="F135" s="163"/>
      <c r="G135" s="137"/>
      <c r="H135" s="137"/>
      <c r="I135" s="164"/>
      <c r="J135" s="137"/>
      <c r="K135" s="163"/>
      <c r="L135" s="137"/>
      <c r="M135" s="137"/>
      <c r="N135" s="164"/>
      <c r="O135" s="137"/>
      <c r="P135" s="137"/>
      <c r="Q135" s="137"/>
      <c r="R135" s="137"/>
    </row>
    <row r="136" ht="23.2" spans="1:18">
      <c r="A136" s="163"/>
      <c r="B136" s="137"/>
      <c r="C136" s="137"/>
      <c r="D136" s="164"/>
      <c r="E136" s="137"/>
      <c r="F136" s="163"/>
      <c r="G136" s="137"/>
      <c r="H136" s="137"/>
      <c r="I136" s="164"/>
      <c r="J136" s="137"/>
      <c r="K136" s="163"/>
      <c r="L136" s="137"/>
      <c r="M136" s="137"/>
      <c r="N136" s="164"/>
      <c r="O136" s="137"/>
      <c r="P136" s="137"/>
      <c r="Q136" s="137"/>
      <c r="R136" s="137"/>
    </row>
    <row r="137" ht="23.2" spans="1:18">
      <c r="A137" s="163"/>
      <c r="B137" s="137"/>
      <c r="C137" s="137"/>
      <c r="D137" s="164"/>
      <c r="E137" s="137"/>
      <c r="F137" s="163"/>
      <c r="G137" s="137"/>
      <c r="H137" s="137"/>
      <c r="I137" s="164"/>
      <c r="J137" s="137"/>
      <c r="K137" s="163"/>
      <c r="L137" s="137"/>
      <c r="M137" s="137"/>
      <c r="N137" s="164"/>
      <c r="O137" s="137"/>
      <c r="P137" s="137"/>
      <c r="Q137" s="137"/>
      <c r="R137" s="137"/>
    </row>
    <row r="138" ht="23.2" spans="1:18">
      <c r="A138" s="163"/>
      <c r="B138" s="137"/>
      <c r="C138" s="137"/>
      <c r="D138" s="164"/>
      <c r="E138" s="137"/>
      <c r="F138" s="163"/>
      <c r="G138" s="137"/>
      <c r="H138" s="137"/>
      <c r="I138" s="164"/>
      <c r="J138" s="137"/>
      <c r="K138" s="163"/>
      <c r="L138" s="137"/>
      <c r="M138" s="137"/>
      <c r="N138" s="164"/>
      <c r="O138" s="137"/>
      <c r="P138" s="137"/>
      <c r="Q138" s="137"/>
      <c r="R138" s="137"/>
    </row>
    <row r="139" ht="23.2" spans="1:18">
      <c r="A139" s="163"/>
      <c r="B139" s="137"/>
      <c r="C139" s="137"/>
      <c r="D139" s="164"/>
      <c r="E139" s="137"/>
      <c r="F139" s="163"/>
      <c r="G139" s="137"/>
      <c r="H139" s="137"/>
      <c r="I139" s="164"/>
      <c r="J139" s="137"/>
      <c r="K139" s="163"/>
      <c r="L139" s="137"/>
      <c r="M139" s="137"/>
      <c r="N139" s="164"/>
      <c r="O139" s="137"/>
      <c r="P139" s="137"/>
      <c r="Q139" s="137"/>
      <c r="R139" s="137"/>
    </row>
    <row r="140" ht="23.2" spans="1:18">
      <c r="A140" s="163"/>
      <c r="B140" s="137"/>
      <c r="C140" s="137"/>
      <c r="D140" s="164"/>
      <c r="E140" s="137"/>
      <c r="F140" s="163"/>
      <c r="G140" s="137"/>
      <c r="H140" s="137"/>
      <c r="I140" s="164"/>
      <c r="J140" s="137"/>
      <c r="K140" s="163"/>
      <c r="L140" s="137"/>
      <c r="M140" s="137"/>
      <c r="N140" s="164"/>
      <c r="O140" s="137"/>
      <c r="P140" s="137"/>
      <c r="Q140" s="137"/>
      <c r="R140" s="137"/>
    </row>
    <row r="141" ht="23.2" spans="1:18">
      <c r="A141" s="163"/>
      <c r="B141" s="137"/>
      <c r="C141" s="137"/>
      <c r="D141" s="164"/>
      <c r="E141" s="137"/>
      <c r="F141" s="163"/>
      <c r="G141" s="137"/>
      <c r="H141" s="137"/>
      <c r="I141" s="164"/>
      <c r="J141" s="137"/>
      <c r="K141" s="163"/>
      <c r="L141" s="137"/>
      <c r="M141" s="137"/>
      <c r="N141" s="164"/>
      <c r="O141" s="137"/>
      <c r="P141" s="137"/>
      <c r="Q141" s="137"/>
      <c r="R141" s="137"/>
    </row>
    <row r="142" ht="23.2" spans="1:18">
      <c r="A142" s="163"/>
      <c r="B142" s="137"/>
      <c r="C142" s="137"/>
      <c r="D142" s="164"/>
      <c r="E142" s="137"/>
      <c r="F142" s="163"/>
      <c r="G142" s="137"/>
      <c r="H142" s="137"/>
      <c r="I142" s="164"/>
      <c r="J142" s="137"/>
      <c r="K142" s="163"/>
      <c r="L142" s="137"/>
      <c r="M142" s="137"/>
      <c r="N142" s="164"/>
      <c r="O142" s="137"/>
      <c r="P142" s="137"/>
      <c r="Q142" s="137"/>
      <c r="R142" s="137"/>
    </row>
    <row r="143" ht="23.2" spans="1:18">
      <c r="A143" s="163"/>
      <c r="B143" s="137"/>
      <c r="C143" s="137"/>
      <c r="D143" s="164"/>
      <c r="E143" s="137"/>
      <c r="F143" s="163"/>
      <c r="G143" s="137"/>
      <c r="H143" s="137"/>
      <c r="I143" s="164"/>
      <c r="J143" s="137"/>
      <c r="K143" s="163"/>
      <c r="L143" s="137"/>
      <c r="M143" s="137"/>
      <c r="N143" s="164"/>
      <c r="O143" s="137"/>
      <c r="P143" s="137"/>
      <c r="Q143" s="137"/>
      <c r="R143" s="137"/>
    </row>
    <row r="144" ht="23.2" spans="1:18">
      <c r="A144" s="163"/>
      <c r="B144" s="137"/>
      <c r="C144" s="137"/>
      <c r="D144" s="164"/>
      <c r="E144" s="137"/>
      <c r="F144" s="163"/>
      <c r="G144" s="137"/>
      <c r="H144" s="137"/>
      <c r="I144" s="164"/>
      <c r="J144" s="137"/>
      <c r="K144" s="163"/>
      <c r="L144" s="137"/>
      <c r="M144" s="137"/>
      <c r="N144" s="164"/>
      <c r="O144" s="137"/>
      <c r="P144" s="137"/>
      <c r="Q144" s="137"/>
      <c r="R144" s="137"/>
    </row>
    <row r="145" ht="23.2" spans="1:18">
      <c r="A145" s="163"/>
      <c r="B145" s="137"/>
      <c r="C145" s="137"/>
      <c r="D145" s="164"/>
      <c r="E145" s="137"/>
      <c r="F145" s="163"/>
      <c r="G145" s="137"/>
      <c r="H145" s="137"/>
      <c r="I145" s="164"/>
      <c r="J145" s="137"/>
      <c r="K145" s="163"/>
      <c r="L145" s="137"/>
      <c r="M145" s="137"/>
      <c r="N145" s="164"/>
      <c r="O145" s="137"/>
      <c r="P145" s="137"/>
      <c r="Q145" s="137"/>
      <c r="R145" s="137"/>
    </row>
    <row r="146" ht="23.2" spans="1:18">
      <c r="A146" s="163"/>
      <c r="B146" s="137"/>
      <c r="C146" s="137"/>
      <c r="D146" s="164"/>
      <c r="E146" s="137"/>
      <c r="F146" s="163"/>
      <c r="G146" s="137"/>
      <c r="H146" s="137"/>
      <c r="I146" s="164"/>
      <c r="J146" s="137"/>
      <c r="K146" s="163"/>
      <c r="L146" s="137"/>
      <c r="M146" s="137"/>
      <c r="N146" s="164"/>
      <c r="O146" s="137"/>
      <c r="P146" s="137"/>
      <c r="Q146" s="137"/>
      <c r="R146" s="137"/>
    </row>
    <row r="147" ht="23.2" spans="1:18">
      <c r="A147" s="163"/>
      <c r="B147" s="137"/>
      <c r="C147" s="137"/>
      <c r="D147" s="164"/>
      <c r="E147" s="137"/>
      <c r="F147" s="163"/>
      <c r="G147" s="137"/>
      <c r="H147" s="137"/>
      <c r="I147" s="164"/>
      <c r="J147" s="137"/>
      <c r="K147" s="163"/>
      <c r="L147" s="137"/>
      <c r="M147" s="137"/>
      <c r="N147" s="164"/>
      <c r="O147" s="137"/>
      <c r="P147" s="137"/>
      <c r="Q147" s="137"/>
      <c r="R147" s="137"/>
    </row>
    <row r="148" ht="23.2" spans="1:18">
      <c r="A148" s="163"/>
      <c r="B148" s="137"/>
      <c r="C148" s="137"/>
      <c r="D148" s="164"/>
      <c r="E148" s="137"/>
      <c r="F148" s="163"/>
      <c r="G148" s="137"/>
      <c r="H148" s="137"/>
      <c r="I148" s="164"/>
      <c r="J148" s="137"/>
      <c r="K148" s="163"/>
      <c r="L148" s="137"/>
      <c r="M148" s="137"/>
      <c r="N148" s="164"/>
      <c r="O148" s="137"/>
      <c r="P148" s="137"/>
      <c r="Q148" s="137"/>
      <c r="R148" s="137"/>
    </row>
    <row r="149" ht="23.2" spans="1:18">
      <c r="A149" s="163"/>
      <c r="B149" s="137"/>
      <c r="C149" s="137"/>
      <c r="D149" s="164"/>
      <c r="E149" s="137"/>
      <c r="F149" s="163"/>
      <c r="G149" s="137"/>
      <c r="H149" s="137"/>
      <c r="I149" s="164"/>
      <c r="J149" s="137"/>
      <c r="K149" s="163"/>
      <c r="L149" s="137"/>
      <c r="M149" s="137"/>
      <c r="N149" s="164"/>
      <c r="O149" s="137"/>
      <c r="P149" s="137"/>
      <c r="Q149" s="137"/>
      <c r="R149" s="137"/>
    </row>
    <row r="150" ht="23.2" spans="1:18">
      <c r="A150" s="163"/>
      <c r="B150" s="137"/>
      <c r="C150" s="137"/>
      <c r="D150" s="164"/>
      <c r="E150" s="137"/>
      <c r="F150" s="163"/>
      <c r="G150" s="137"/>
      <c r="H150" s="137"/>
      <c r="I150" s="164"/>
      <c r="J150" s="137"/>
      <c r="K150" s="163"/>
      <c r="L150" s="137"/>
      <c r="M150" s="137"/>
      <c r="N150" s="164"/>
      <c r="O150" s="137"/>
      <c r="P150" s="137"/>
      <c r="Q150" s="137"/>
      <c r="R150" s="137"/>
    </row>
    <row r="151" ht="23.2" spans="1:18">
      <c r="A151" s="163"/>
      <c r="B151" s="137"/>
      <c r="C151" s="137"/>
      <c r="D151" s="164"/>
      <c r="E151" s="137"/>
      <c r="F151" s="163"/>
      <c r="G151" s="137"/>
      <c r="H151" s="137"/>
      <c r="I151" s="164"/>
      <c r="J151" s="137"/>
      <c r="K151" s="163"/>
      <c r="L151" s="137"/>
      <c r="M151" s="137"/>
      <c r="N151" s="164"/>
      <c r="O151" s="137"/>
      <c r="P151" s="137"/>
      <c r="Q151" s="137"/>
      <c r="R151" s="137"/>
    </row>
    <row r="152" ht="23.2" spans="1:18">
      <c r="A152" s="163"/>
      <c r="B152" s="137"/>
      <c r="C152" s="137"/>
      <c r="D152" s="164"/>
      <c r="E152" s="137"/>
      <c r="F152" s="163"/>
      <c r="G152" s="137"/>
      <c r="H152" s="137"/>
      <c r="I152" s="164"/>
      <c r="J152" s="137"/>
      <c r="K152" s="163"/>
      <c r="L152" s="137"/>
      <c r="M152" s="137"/>
      <c r="N152" s="164"/>
      <c r="O152" s="137"/>
      <c r="P152" s="137"/>
      <c r="Q152" s="137"/>
      <c r="R152" s="137"/>
    </row>
    <row r="153" ht="23.2" spans="1:18">
      <c r="A153" s="163"/>
      <c r="B153" s="137"/>
      <c r="C153" s="137"/>
      <c r="D153" s="164"/>
      <c r="E153" s="137"/>
      <c r="F153" s="163"/>
      <c r="G153" s="137"/>
      <c r="H153" s="137"/>
      <c r="I153" s="164"/>
      <c r="J153" s="137"/>
      <c r="K153" s="163"/>
      <c r="L153" s="137"/>
      <c r="M153" s="137"/>
      <c r="N153" s="164"/>
      <c r="O153" s="137"/>
      <c r="P153" s="137"/>
      <c r="Q153" s="137"/>
      <c r="R153" s="137"/>
    </row>
    <row r="154" ht="23.2" spans="1:18">
      <c r="A154" s="163"/>
      <c r="B154" s="137"/>
      <c r="C154" s="137"/>
      <c r="D154" s="164"/>
      <c r="E154" s="137"/>
      <c r="F154" s="163"/>
      <c r="G154" s="137"/>
      <c r="H154" s="137"/>
      <c r="I154" s="164"/>
      <c r="J154" s="137"/>
      <c r="K154" s="163"/>
      <c r="L154" s="137"/>
      <c r="M154" s="137"/>
      <c r="N154" s="164"/>
      <c r="O154" s="137"/>
      <c r="P154" s="137"/>
      <c r="Q154" s="137"/>
      <c r="R154" s="137"/>
    </row>
    <row r="155" ht="23.2" spans="1:18">
      <c r="A155" s="163"/>
      <c r="B155" s="137"/>
      <c r="C155" s="137"/>
      <c r="D155" s="164"/>
      <c r="E155" s="137"/>
      <c r="F155" s="163"/>
      <c r="G155" s="137"/>
      <c r="H155" s="137"/>
      <c r="I155" s="164"/>
      <c r="J155" s="137"/>
      <c r="K155" s="163"/>
      <c r="L155" s="137"/>
      <c r="M155" s="137"/>
      <c r="N155" s="164"/>
      <c r="O155" s="137"/>
      <c r="P155" s="137"/>
      <c r="Q155" s="137"/>
      <c r="R155" s="137"/>
    </row>
    <row r="156" ht="23.2" spans="1:18">
      <c r="A156" s="163"/>
      <c r="B156" s="137"/>
      <c r="C156" s="137"/>
      <c r="D156" s="164"/>
      <c r="E156" s="137"/>
      <c r="F156" s="163"/>
      <c r="G156" s="137"/>
      <c r="H156" s="137"/>
      <c r="I156" s="164"/>
      <c r="J156" s="137"/>
      <c r="K156" s="163"/>
      <c r="L156" s="137"/>
      <c r="M156" s="137"/>
      <c r="N156" s="164"/>
      <c r="O156" s="137"/>
      <c r="P156" s="137"/>
      <c r="Q156" s="137"/>
      <c r="R156" s="137"/>
    </row>
    <row r="157" ht="23.2" spans="1:18">
      <c r="A157" s="163"/>
      <c r="B157" s="137"/>
      <c r="C157" s="137"/>
      <c r="D157" s="164"/>
      <c r="E157" s="137"/>
      <c r="F157" s="163"/>
      <c r="G157" s="137"/>
      <c r="H157" s="137"/>
      <c r="I157" s="164"/>
      <c r="J157" s="137"/>
      <c r="K157" s="163"/>
      <c r="L157" s="137"/>
      <c r="M157" s="137"/>
      <c r="N157" s="164"/>
      <c r="O157" s="137"/>
      <c r="P157" s="137"/>
      <c r="Q157" s="137"/>
      <c r="R157" s="137"/>
    </row>
    <row r="158" ht="23.2" spans="1:18">
      <c r="A158" s="163"/>
      <c r="B158" s="137"/>
      <c r="C158" s="137"/>
      <c r="D158" s="164"/>
      <c r="E158" s="137"/>
      <c r="F158" s="163"/>
      <c r="G158" s="137"/>
      <c r="H158" s="137"/>
      <c r="I158" s="164"/>
      <c r="J158" s="137"/>
      <c r="K158" s="163"/>
      <c r="L158" s="137"/>
      <c r="M158" s="137"/>
      <c r="N158" s="164"/>
      <c r="O158" s="137"/>
      <c r="P158" s="137"/>
      <c r="Q158" s="137"/>
      <c r="R158" s="137"/>
    </row>
    <row r="159" ht="23.2" spans="1:18">
      <c r="A159" s="163"/>
      <c r="B159" s="137"/>
      <c r="C159" s="137"/>
      <c r="D159" s="164"/>
      <c r="E159" s="137"/>
      <c r="F159" s="163"/>
      <c r="G159" s="137"/>
      <c r="H159" s="137"/>
      <c r="I159" s="164"/>
      <c r="J159" s="137"/>
      <c r="K159" s="163"/>
      <c r="L159" s="137"/>
      <c r="M159" s="137"/>
      <c r="N159" s="164"/>
      <c r="O159" s="137"/>
      <c r="P159" s="137"/>
      <c r="Q159" s="137"/>
      <c r="R159" s="137"/>
    </row>
    <row r="160" ht="23.2" spans="1:18">
      <c r="A160" s="163"/>
      <c r="B160" s="137"/>
      <c r="C160" s="137"/>
      <c r="D160" s="164"/>
      <c r="E160" s="137"/>
      <c r="F160" s="163"/>
      <c r="G160" s="137"/>
      <c r="H160" s="137"/>
      <c r="I160" s="164"/>
      <c r="J160" s="137"/>
      <c r="K160" s="163"/>
      <c r="L160" s="137"/>
      <c r="M160" s="137"/>
      <c r="N160" s="164"/>
      <c r="O160" s="137"/>
      <c r="P160" s="137"/>
      <c r="Q160" s="137"/>
      <c r="R160" s="137"/>
    </row>
    <row r="161" ht="23.2" spans="1:18">
      <c r="A161" s="163"/>
      <c r="B161" s="137"/>
      <c r="C161" s="137"/>
      <c r="D161" s="164"/>
      <c r="E161" s="137"/>
      <c r="F161" s="163"/>
      <c r="G161" s="137"/>
      <c r="H161" s="137"/>
      <c r="I161" s="164"/>
      <c r="J161" s="137"/>
      <c r="K161" s="163"/>
      <c r="L161" s="137"/>
      <c r="M161" s="137"/>
      <c r="N161" s="164"/>
      <c r="O161" s="137"/>
      <c r="P161" s="137"/>
      <c r="Q161" s="137"/>
      <c r="R161" s="137"/>
    </row>
    <row r="162" ht="23.2" spans="1:18">
      <c r="A162" s="163"/>
      <c r="B162" s="137"/>
      <c r="C162" s="137"/>
      <c r="D162" s="164"/>
      <c r="E162" s="137"/>
      <c r="F162" s="163"/>
      <c r="G162" s="137"/>
      <c r="H162" s="137"/>
      <c r="I162" s="164"/>
      <c r="J162" s="137"/>
      <c r="K162" s="163"/>
      <c r="L162" s="137"/>
      <c r="M162" s="137"/>
      <c r="N162" s="164"/>
      <c r="O162" s="137"/>
      <c r="P162" s="137"/>
      <c r="Q162" s="137"/>
      <c r="R162" s="137"/>
    </row>
    <row r="163" ht="23.2" spans="1:18">
      <c r="A163" s="163"/>
      <c r="B163" s="137"/>
      <c r="C163" s="137"/>
      <c r="D163" s="164"/>
      <c r="E163" s="137"/>
      <c r="F163" s="163"/>
      <c r="G163" s="137"/>
      <c r="H163" s="137"/>
      <c r="I163" s="164"/>
      <c r="J163" s="137"/>
      <c r="K163" s="163"/>
      <c r="L163" s="137"/>
      <c r="M163" s="137"/>
      <c r="N163" s="164"/>
      <c r="O163" s="137"/>
      <c r="P163" s="137"/>
      <c r="Q163" s="137"/>
      <c r="R163" s="137"/>
    </row>
    <row r="164" ht="23.2" spans="1:18">
      <c r="A164" s="163"/>
      <c r="B164" s="137"/>
      <c r="C164" s="137"/>
      <c r="D164" s="164"/>
      <c r="E164" s="137"/>
      <c r="F164" s="163"/>
      <c r="G164" s="137"/>
      <c r="H164" s="137"/>
      <c r="I164" s="164"/>
      <c r="J164" s="137"/>
      <c r="K164" s="163"/>
      <c r="L164" s="137"/>
      <c r="M164" s="137"/>
      <c r="N164" s="164"/>
      <c r="O164" s="137"/>
      <c r="P164" s="137"/>
      <c r="Q164" s="137"/>
      <c r="R164" s="137"/>
    </row>
    <row r="165" ht="23.2" spans="1:18">
      <c r="A165" s="163"/>
      <c r="B165" s="137"/>
      <c r="C165" s="137"/>
      <c r="D165" s="164"/>
      <c r="E165" s="137"/>
      <c r="F165" s="163"/>
      <c r="G165" s="137"/>
      <c r="H165" s="137"/>
      <c r="I165" s="164"/>
      <c r="J165" s="137"/>
      <c r="K165" s="163"/>
      <c r="L165" s="137"/>
      <c r="M165" s="137"/>
      <c r="N165" s="164"/>
      <c r="O165" s="137"/>
      <c r="P165" s="137"/>
      <c r="Q165" s="137"/>
      <c r="R165" s="137"/>
    </row>
    <row r="166" ht="23.2" spans="1:18">
      <c r="A166" s="163"/>
      <c r="B166" s="137"/>
      <c r="C166" s="137"/>
      <c r="D166" s="164"/>
      <c r="E166" s="137"/>
      <c r="F166" s="163"/>
      <c r="G166" s="137"/>
      <c r="H166" s="137"/>
      <c r="I166" s="164"/>
      <c r="J166" s="137"/>
      <c r="K166" s="163"/>
      <c r="L166" s="137"/>
      <c r="M166" s="137"/>
      <c r="N166" s="164"/>
      <c r="O166" s="137"/>
      <c r="P166" s="137"/>
      <c r="Q166" s="137"/>
      <c r="R166" s="137"/>
    </row>
    <row r="167" ht="23.2" spans="1:18">
      <c r="A167" s="163"/>
      <c r="B167" s="137"/>
      <c r="C167" s="137"/>
      <c r="D167" s="164"/>
      <c r="E167" s="137"/>
      <c r="F167" s="163"/>
      <c r="G167" s="137"/>
      <c r="H167" s="137"/>
      <c r="I167" s="164"/>
      <c r="J167" s="137"/>
      <c r="K167" s="163"/>
      <c r="L167" s="137"/>
      <c r="M167" s="137"/>
      <c r="N167" s="164"/>
      <c r="O167" s="137"/>
      <c r="P167" s="137"/>
      <c r="Q167" s="137"/>
      <c r="R167" s="137"/>
    </row>
    <row r="168" ht="23.2" spans="1:18">
      <c r="A168" s="163"/>
      <c r="B168" s="137"/>
      <c r="C168" s="137"/>
      <c r="D168" s="164"/>
      <c r="E168" s="137"/>
      <c r="F168" s="163"/>
      <c r="G168" s="137"/>
      <c r="H168" s="137"/>
      <c r="I168" s="164"/>
      <c r="J168" s="137"/>
      <c r="K168" s="163"/>
      <c r="L168" s="137"/>
      <c r="M168" s="137"/>
      <c r="N168" s="164"/>
      <c r="O168" s="137"/>
      <c r="P168" s="137"/>
      <c r="Q168" s="137"/>
      <c r="R168" s="137"/>
    </row>
    <row r="169" ht="23.2" spans="1:18">
      <c r="A169" s="163"/>
      <c r="B169" s="137"/>
      <c r="C169" s="137"/>
      <c r="D169" s="164"/>
      <c r="E169" s="137"/>
      <c r="F169" s="163"/>
      <c r="G169" s="137"/>
      <c r="H169" s="137"/>
      <c r="I169" s="164"/>
      <c r="J169" s="137"/>
      <c r="K169" s="163"/>
      <c r="L169" s="137"/>
      <c r="M169" s="137"/>
      <c r="N169" s="164"/>
      <c r="O169" s="137"/>
      <c r="P169" s="137"/>
      <c r="Q169" s="137"/>
      <c r="R169" s="137"/>
    </row>
    <row r="170" ht="23.2" spans="1:18">
      <c r="A170" s="163"/>
      <c r="B170" s="137"/>
      <c r="C170" s="137"/>
      <c r="D170" s="164"/>
      <c r="E170" s="137"/>
      <c r="F170" s="163"/>
      <c r="G170" s="137"/>
      <c r="H170" s="137"/>
      <c r="I170" s="164"/>
      <c r="J170" s="137"/>
      <c r="K170" s="163"/>
      <c r="L170" s="137"/>
      <c r="M170" s="137"/>
      <c r="N170" s="164"/>
      <c r="O170" s="137"/>
      <c r="P170" s="137"/>
      <c r="Q170" s="137"/>
      <c r="R170" s="137"/>
    </row>
    <row r="171" ht="23.2" spans="1:18">
      <c r="A171" s="163"/>
      <c r="B171" s="137"/>
      <c r="C171" s="137"/>
      <c r="D171" s="164"/>
      <c r="E171" s="137"/>
      <c r="F171" s="163"/>
      <c r="G171" s="137"/>
      <c r="H171" s="137"/>
      <c r="I171" s="164"/>
      <c r="J171" s="137"/>
      <c r="K171" s="163"/>
      <c r="L171" s="137"/>
      <c r="M171" s="137"/>
      <c r="N171" s="164"/>
      <c r="O171" s="137"/>
      <c r="P171" s="137"/>
      <c r="Q171" s="137"/>
      <c r="R171" s="137"/>
    </row>
    <row r="172" ht="23.2" spans="1:18">
      <c r="A172" s="163"/>
      <c r="B172" s="137"/>
      <c r="C172" s="137"/>
      <c r="D172" s="164"/>
      <c r="E172" s="137"/>
      <c r="F172" s="163"/>
      <c r="G172" s="137"/>
      <c r="H172" s="137"/>
      <c r="I172" s="164"/>
      <c r="J172" s="137"/>
      <c r="K172" s="163"/>
      <c r="L172" s="137"/>
      <c r="M172" s="137"/>
      <c r="N172" s="164"/>
      <c r="O172" s="137"/>
      <c r="P172" s="137"/>
      <c r="Q172" s="137"/>
      <c r="R172" s="137"/>
    </row>
    <row r="173" ht="23.2" spans="1:18">
      <c r="A173" s="163"/>
      <c r="B173" s="137"/>
      <c r="C173" s="137"/>
      <c r="D173" s="164"/>
      <c r="E173" s="137"/>
      <c r="F173" s="163"/>
      <c r="G173" s="137"/>
      <c r="H173" s="137"/>
      <c r="I173" s="164"/>
      <c r="J173" s="137"/>
      <c r="K173" s="163"/>
      <c r="L173" s="137"/>
      <c r="M173" s="137"/>
      <c r="N173" s="164"/>
      <c r="O173" s="137"/>
      <c r="P173" s="137"/>
      <c r="Q173" s="137"/>
      <c r="R173" s="137"/>
    </row>
    <row r="174" ht="23.2" spans="1:18">
      <c r="A174" s="163"/>
      <c r="B174" s="137"/>
      <c r="C174" s="137"/>
      <c r="D174" s="164"/>
      <c r="E174" s="137"/>
      <c r="F174" s="163"/>
      <c r="G174" s="137"/>
      <c r="H174" s="137"/>
      <c r="I174" s="164"/>
      <c r="J174" s="137"/>
      <c r="K174" s="163"/>
      <c r="L174" s="137"/>
      <c r="M174" s="137"/>
      <c r="N174" s="164"/>
      <c r="O174" s="137"/>
      <c r="P174" s="137"/>
      <c r="Q174" s="137"/>
      <c r="R174" s="137"/>
    </row>
    <row r="175" ht="23.2" spans="1:18">
      <c r="A175" s="163"/>
      <c r="B175" s="137"/>
      <c r="C175" s="137"/>
      <c r="D175" s="164"/>
      <c r="E175" s="137"/>
      <c r="F175" s="163"/>
      <c r="G175" s="137"/>
      <c r="H175" s="137"/>
      <c r="I175" s="164"/>
      <c r="J175" s="137"/>
      <c r="K175" s="163"/>
      <c r="L175" s="137"/>
      <c r="M175" s="137"/>
      <c r="N175" s="164"/>
      <c r="O175" s="137"/>
      <c r="P175" s="137"/>
      <c r="Q175" s="137"/>
      <c r="R175" s="137"/>
    </row>
    <row r="176" ht="23.2" spans="1:18">
      <c r="A176" s="163"/>
      <c r="B176" s="137"/>
      <c r="C176" s="137"/>
      <c r="D176" s="164"/>
      <c r="E176" s="137"/>
      <c r="F176" s="163"/>
      <c r="G176" s="137"/>
      <c r="H176" s="137"/>
      <c r="I176" s="164"/>
      <c r="J176" s="137"/>
      <c r="K176" s="163"/>
      <c r="L176" s="137"/>
      <c r="M176" s="137"/>
      <c r="N176" s="164"/>
      <c r="O176" s="137"/>
      <c r="P176" s="137"/>
      <c r="Q176" s="137"/>
      <c r="R176" s="137"/>
    </row>
    <row r="177" ht="23.2" spans="1:18">
      <c r="A177" s="163"/>
      <c r="B177" s="137"/>
      <c r="C177" s="137"/>
      <c r="D177" s="164"/>
      <c r="E177" s="137"/>
      <c r="F177" s="163"/>
      <c r="G177" s="137"/>
      <c r="H177" s="137"/>
      <c r="I177" s="164"/>
      <c r="J177" s="137"/>
      <c r="K177" s="163"/>
      <c r="L177" s="137"/>
      <c r="M177" s="137"/>
      <c r="N177" s="164"/>
      <c r="O177" s="137"/>
      <c r="P177" s="137"/>
      <c r="Q177" s="137"/>
      <c r="R177" s="137"/>
    </row>
    <row r="178" ht="23.2" spans="1:18">
      <c r="A178" s="163"/>
      <c r="B178" s="137"/>
      <c r="C178" s="137"/>
      <c r="D178" s="164"/>
      <c r="E178" s="137"/>
      <c r="F178" s="163"/>
      <c r="G178" s="137"/>
      <c r="H178" s="137"/>
      <c r="I178" s="164"/>
      <c r="J178" s="137"/>
      <c r="K178" s="163"/>
      <c r="L178" s="137"/>
      <c r="M178" s="137"/>
      <c r="N178" s="164"/>
      <c r="O178" s="137"/>
      <c r="P178" s="137"/>
      <c r="Q178" s="137"/>
      <c r="R178" s="137"/>
    </row>
    <row r="179" ht="23.2" spans="1:18">
      <c r="A179" s="163"/>
      <c r="B179" s="137"/>
      <c r="C179" s="137"/>
      <c r="D179" s="164"/>
      <c r="E179" s="137"/>
      <c r="F179" s="163"/>
      <c r="G179" s="137"/>
      <c r="H179" s="137"/>
      <c r="I179" s="164"/>
      <c r="J179" s="137"/>
      <c r="K179" s="163"/>
      <c r="L179" s="137"/>
      <c r="M179" s="137"/>
      <c r="N179" s="164"/>
      <c r="O179" s="137"/>
      <c r="P179" s="137"/>
      <c r="Q179" s="137"/>
      <c r="R179" s="137"/>
    </row>
    <row r="180" ht="23.2" spans="1:18">
      <c r="A180" s="163"/>
      <c r="B180" s="137"/>
      <c r="C180" s="137"/>
      <c r="D180" s="164"/>
      <c r="E180" s="137"/>
      <c r="F180" s="163"/>
      <c r="G180" s="137"/>
      <c r="H180" s="137"/>
      <c r="I180" s="164"/>
      <c r="J180" s="137"/>
      <c r="K180" s="163"/>
      <c r="L180" s="137"/>
      <c r="M180" s="137"/>
      <c r="N180" s="164"/>
      <c r="O180" s="137"/>
      <c r="P180" s="137"/>
      <c r="Q180" s="137"/>
      <c r="R180" s="137"/>
    </row>
    <row r="181" ht="23.2" spans="1:18">
      <c r="A181" s="163"/>
      <c r="B181" s="137"/>
      <c r="C181" s="137"/>
      <c r="D181" s="164"/>
      <c r="E181" s="137"/>
      <c r="F181" s="163"/>
      <c r="G181" s="137"/>
      <c r="H181" s="137"/>
      <c r="I181" s="164"/>
      <c r="J181" s="137"/>
      <c r="K181" s="163"/>
      <c r="L181" s="137"/>
      <c r="M181" s="137"/>
      <c r="N181" s="164"/>
      <c r="O181" s="137"/>
      <c r="P181" s="137"/>
      <c r="Q181" s="137"/>
      <c r="R181" s="137"/>
    </row>
    <row r="182" ht="23.2" spans="1:18">
      <c r="A182" s="163"/>
      <c r="B182" s="137"/>
      <c r="C182" s="137"/>
      <c r="D182" s="164"/>
      <c r="E182" s="137"/>
      <c r="F182" s="163"/>
      <c r="G182" s="137"/>
      <c r="H182" s="137"/>
      <c r="I182" s="164"/>
      <c r="J182" s="137"/>
      <c r="K182" s="163"/>
      <c r="L182" s="137"/>
      <c r="M182" s="137"/>
      <c r="N182" s="164"/>
      <c r="O182" s="137"/>
      <c r="P182" s="137"/>
      <c r="Q182" s="137"/>
      <c r="R182" s="137"/>
    </row>
    <row r="183" ht="23.2" spans="1:18">
      <c r="A183" s="163"/>
      <c r="B183" s="137"/>
      <c r="C183" s="137"/>
      <c r="D183" s="164"/>
      <c r="E183" s="137"/>
      <c r="F183" s="163"/>
      <c r="G183" s="137"/>
      <c r="H183" s="137"/>
      <c r="I183" s="164"/>
      <c r="J183" s="137"/>
      <c r="K183" s="163"/>
      <c r="L183" s="137"/>
      <c r="M183" s="137"/>
      <c r="N183" s="164"/>
      <c r="O183" s="137"/>
      <c r="P183" s="137"/>
      <c r="Q183" s="137"/>
      <c r="R183" s="137"/>
    </row>
    <row r="184" ht="23.2" spans="1:18">
      <c r="A184" s="163"/>
      <c r="B184" s="137"/>
      <c r="C184" s="137"/>
      <c r="D184" s="164"/>
      <c r="E184" s="137"/>
      <c r="F184" s="163"/>
      <c r="G184" s="137"/>
      <c r="H184" s="137"/>
      <c r="I184" s="164"/>
      <c r="J184" s="137"/>
      <c r="K184" s="163"/>
      <c r="L184" s="137"/>
      <c r="M184" s="137"/>
      <c r="N184" s="164"/>
      <c r="O184" s="137"/>
      <c r="P184" s="137"/>
      <c r="Q184" s="137"/>
      <c r="R184" s="137"/>
    </row>
    <row r="185" ht="23.2" spans="1:18">
      <c r="A185" s="163"/>
      <c r="B185" s="137"/>
      <c r="C185" s="137"/>
      <c r="D185" s="164"/>
      <c r="E185" s="137"/>
      <c r="F185" s="163"/>
      <c r="G185" s="137"/>
      <c r="H185" s="137"/>
      <c r="I185" s="164"/>
      <c r="J185" s="137"/>
      <c r="K185" s="163"/>
      <c r="L185" s="137"/>
      <c r="M185" s="137"/>
      <c r="N185" s="164"/>
      <c r="O185" s="137"/>
      <c r="P185" s="137"/>
      <c r="Q185" s="137"/>
      <c r="R185" s="137"/>
    </row>
    <row r="186" ht="23.2" spans="1:18">
      <c r="A186" s="163"/>
      <c r="B186" s="137"/>
      <c r="C186" s="137"/>
      <c r="D186" s="164"/>
      <c r="E186" s="137"/>
      <c r="F186" s="163"/>
      <c r="G186" s="137"/>
      <c r="H186" s="137"/>
      <c r="I186" s="164"/>
      <c r="J186" s="137"/>
      <c r="K186" s="163"/>
      <c r="L186" s="137"/>
      <c r="M186" s="137"/>
      <c r="N186" s="164"/>
      <c r="O186" s="137"/>
      <c r="P186" s="137"/>
      <c r="Q186" s="137"/>
      <c r="R186" s="137"/>
    </row>
    <row r="187" ht="23.2" spans="1:18">
      <c r="A187" s="163"/>
      <c r="B187" s="137"/>
      <c r="C187" s="137"/>
      <c r="D187" s="164"/>
      <c r="E187" s="137"/>
      <c r="F187" s="163"/>
      <c r="G187" s="137"/>
      <c r="H187" s="137"/>
      <c r="I187" s="164"/>
      <c r="J187" s="137"/>
      <c r="K187" s="163"/>
      <c r="L187" s="137"/>
      <c r="M187" s="137"/>
      <c r="N187" s="164"/>
      <c r="O187" s="137"/>
      <c r="P187" s="137"/>
      <c r="Q187" s="137"/>
      <c r="R187" s="137"/>
    </row>
    <row r="188" ht="23.2" spans="1:18">
      <c r="A188" s="163"/>
      <c r="B188" s="137"/>
      <c r="C188" s="137"/>
      <c r="D188" s="164"/>
      <c r="E188" s="137"/>
      <c r="F188" s="163"/>
      <c r="G188" s="137"/>
      <c r="H188" s="137"/>
      <c r="I188" s="164"/>
      <c r="J188" s="137"/>
      <c r="K188" s="163"/>
      <c r="L188" s="137"/>
      <c r="M188" s="137"/>
      <c r="N188" s="164"/>
      <c r="O188" s="137"/>
      <c r="P188" s="137"/>
      <c r="Q188" s="137"/>
      <c r="R188" s="137"/>
    </row>
    <row r="189" ht="23.2" spans="1:18">
      <c r="A189" s="163"/>
      <c r="B189" s="137"/>
      <c r="C189" s="137"/>
      <c r="D189" s="164"/>
      <c r="E189" s="137"/>
      <c r="F189" s="163"/>
      <c r="G189" s="137"/>
      <c r="H189" s="137"/>
      <c r="I189" s="164"/>
      <c r="J189" s="137"/>
      <c r="K189" s="163"/>
      <c r="L189" s="137"/>
      <c r="M189" s="137"/>
      <c r="N189" s="164"/>
      <c r="O189" s="137"/>
      <c r="P189" s="137"/>
      <c r="Q189" s="137"/>
      <c r="R189" s="137"/>
    </row>
    <row r="190" ht="23.2" spans="1:18">
      <c r="A190" s="163"/>
      <c r="B190" s="137"/>
      <c r="C190" s="137"/>
      <c r="D190" s="164"/>
      <c r="E190" s="137"/>
      <c r="F190" s="163"/>
      <c r="G190" s="137"/>
      <c r="H190" s="137"/>
      <c r="I190" s="164"/>
      <c r="J190" s="137"/>
      <c r="K190" s="163"/>
      <c r="L190" s="137"/>
      <c r="M190" s="137"/>
      <c r="N190" s="164"/>
      <c r="O190" s="137"/>
      <c r="P190" s="137"/>
      <c r="Q190" s="137"/>
      <c r="R190" s="137"/>
    </row>
    <row r="191" ht="23.2" spans="1:18">
      <c r="A191" s="163"/>
      <c r="B191" s="137"/>
      <c r="C191" s="137"/>
      <c r="D191" s="164"/>
      <c r="E191" s="137"/>
      <c r="F191" s="163"/>
      <c r="G191" s="137"/>
      <c r="H191" s="137"/>
      <c r="I191" s="164"/>
      <c r="J191" s="137"/>
      <c r="K191" s="163"/>
      <c r="L191" s="137"/>
      <c r="M191" s="137"/>
      <c r="N191" s="164"/>
      <c r="O191" s="137"/>
      <c r="P191" s="137"/>
      <c r="Q191" s="137"/>
      <c r="R191" s="137"/>
    </row>
    <row r="192" ht="23.2" spans="1:18">
      <c r="A192" s="163"/>
      <c r="B192" s="137"/>
      <c r="C192" s="137"/>
      <c r="D192" s="164"/>
      <c r="E192" s="137"/>
      <c r="F192" s="163"/>
      <c r="G192" s="137"/>
      <c r="H192" s="137"/>
      <c r="I192" s="164"/>
      <c r="J192" s="137"/>
      <c r="K192" s="163"/>
      <c r="L192" s="137"/>
      <c r="M192" s="137"/>
      <c r="N192" s="164"/>
      <c r="O192" s="137"/>
      <c r="P192" s="137"/>
      <c r="Q192" s="137"/>
      <c r="R192" s="137"/>
    </row>
    <row r="193" ht="23.2" spans="1:18">
      <c r="A193" s="163"/>
      <c r="B193" s="137"/>
      <c r="C193" s="137"/>
      <c r="D193" s="164"/>
      <c r="E193" s="137"/>
      <c r="F193" s="163"/>
      <c r="G193" s="137"/>
      <c r="H193" s="137"/>
      <c r="I193" s="164"/>
      <c r="J193" s="137"/>
      <c r="K193" s="163"/>
      <c r="L193" s="137"/>
      <c r="M193" s="137"/>
      <c r="N193" s="164"/>
      <c r="O193" s="137"/>
      <c r="P193" s="137"/>
      <c r="Q193" s="137"/>
      <c r="R193" s="137"/>
    </row>
    <row r="194" ht="23.2" spans="1:18">
      <c r="A194" s="163"/>
      <c r="B194" s="137"/>
      <c r="C194" s="137"/>
      <c r="D194" s="164"/>
      <c r="E194" s="137"/>
      <c r="F194" s="163"/>
      <c r="G194" s="137"/>
      <c r="H194" s="137"/>
      <c r="I194" s="164"/>
      <c r="J194" s="137"/>
      <c r="K194" s="163"/>
      <c r="L194" s="137"/>
      <c r="M194" s="137"/>
      <c r="N194" s="164"/>
      <c r="O194" s="137"/>
      <c r="P194" s="137"/>
      <c r="Q194" s="137"/>
      <c r="R194" s="137"/>
    </row>
    <row r="195" ht="23.2" spans="1:18">
      <c r="A195" s="163"/>
      <c r="B195" s="137"/>
      <c r="C195" s="137"/>
      <c r="D195" s="164"/>
      <c r="E195" s="137"/>
      <c r="F195" s="163"/>
      <c r="G195" s="137"/>
      <c r="H195" s="137"/>
      <c r="I195" s="164"/>
      <c r="J195" s="137"/>
      <c r="K195" s="163"/>
      <c r="L195" s="137"/>
      <c r="M195" s="137"/>
      <c r="N195" s="164"/>
      <c r="O195" s="137"/>
      <c r="P195" s="137"/>
      <c r="Q195" s="137"/>
      <c r="R195" s="137"/>
    </row>
    <row r="196" ht="23.2" spans="1:18">
      <c r="A196" s="163"/>
      <c r="B196" s="137"/>
      <c r="C196" s="137"/>
      <c r="D196" s="164"/>
      <c r="E196" s="137"/>
      <c r="F196" s="163"/>
      <c r="G196" s="137"/>
      <c r="H196" s="137"/>
      <c r="I196" s="164"/>
      <c r="J196" s="137"/>
      <c r="K196" s="163"/>
      <c r="L196" s="137"/>
      <c r="M196" s="137"/>
      <c r="N196" s="164"/>
      <c r="O196" s="137"/>
      <c r="P196" s="137"/>
      <c r="Q196" s="137"/>
      <c r="R196" s="137"/>
    </row>
    <row r="197" ht="23.2" spans="1:18">
      <c r="A197" s="163"/>
      <c r="B197" s="137"/>
      <c r="C197" s="137"/>
      <c r="D197" s="164"/>
      <c r="E197" s="137"/>
      <c r="F197" s="163"/>
      <c r="G197" s="137"/>
      <c r="H197" s="137"/>
      <c r="I197" s="164"/>
      <c r="J197" s="137"/>
      <c r="K197" s="163"/>
      <c r="L197" s="137"/>
      <c r="M197" s="137"/>
      <c r="N197" s="164"/>
      <c r="O197" s="137"/>
      <c r="P197" s="137"/>
      <c r="Q197" s="137"/>
      <c r="R197" s="137"/>
    </row>
    <row r="198" ht="23.2" spans="1:18">
      <c r="A198" s="163"/>
      <c r="B198" s="137"/>
      <c r="C198" s="137"/>
      <c r="D198" s="164"/>
      <c r="E198" s="137"/>
      <c r="F198" s="163"/>
      <c r="G198" s="137"/>
      <c r="H198" s="137"/>
      <c r="I198" s="164"/>
      <c r="J198" s="137"/>
      <c r="K198" s="163"/>
      <c r="L198" s="137"/>
      <c r="M198" s="137"/>
      <c r="N198" s="164"/>
      <c r="O198" s="137"/>
      <c r="P198" s="137"/>
      <c r="Q198" s="137"/>
      <c r="R198" s="137"/>
    </row>
    <row r="199" ht="23.2" spans="1:18">
      <c r="A199" s="163"/>
      <c r="B199" s="137"/>
      <c r="C199" s="137"/>
      <c r="D199" s="164"/>
      <c r="E199" s="137"/>
      <c r="F199" s="163"/>
      <c r="G199" s="137"/>
      <c r="H199" s="137"/>
      <c r="I199" s="164"/>
      <c r="J199" s="137"/>
      <c r="K199" s="163"/>
      <c r="L199" s="137"/>
      <c r="M199" s="137"/>
      <c r="N199" s="164"/>
      <c r="O199" s="137"/>
      <c r="P199" s="137"/>
      <c r="Q199" s="137"/>
      <c r="R199" s="137"/>
    </row>
    <row r="200" ht="23.2" spans="1:18">
      <c r="A200" s="163"/>
      <c r="B200" s="137"/>
      <c r="C200" s="137"/>
      <c r="D200" s="164"/>
      <c r="E200" s="137"/>
      <c r="F200" s="163"/>
      <c r="G200" s="137"/>
      <c r="H200" s="137"/>
      <c r="I200" s="164"/>
      <c r="J200" s="137"/>
      <c r="K200" s="163"/>
      <c r="L200" s="137"/>
      <c r="M200" s="137"/>
      <c r="N200" s="164"/>
      <c r="O200" s="137"/>
      <c r="P200" s="137"/>
      <c r="Q200" s="137"/>
      <c r="R200" s="137"/>
    </row>
    <row r="201" ht="23.2" spans="1:18">
      <c r="A201" s="163"/>
      <c r="B201" s="137"/>
      <c r="C201" s="137"/>
      <c r="D201" s="164"/>
      <c r="E201" s="137"/>
      <c r="F201" s="163"/>
      <c r="G201" s="137"/>
      <c r="H201" s="137"/>
      <c r="I201" s="164"/>
      <c r="J201" s="137"/>
      <c r="K201" s="163"/>
      <c r="L201" s="137"/>
      <c r="M201" s="137"/>
      <c r="N201" s="164"/>
      <c r="O201" s="137"/>
      <c r="P201" s="137"/>
      <c r="Q201" s="137"/>
      <c r="R201" s="137"/>
    </row>
  </sheetData>
  <mergeCells count="14">
    <mergeCell ref="A1:D1"/>
    <mergeCell ref="F1:I1"/>
    <mergeCell ref="K1:N1"/>
    <mergeCell ref="B2:D2"/>
    <mergeCell ref="G2:I2"/>
    <mergeCell ref="L2:N2"/>
    <mergeCell ref="B3:D3"/>
    <mergeCell ref="G3:I3"/>
    <mergeCell ref="L3:N3"/>
    <mergeCell ref="B4:D4"/>
    <mergeCell ref="G4:I4"/>
    <mergeCell ref="L4:N4"/>
    <mergeCell ref="F26:I26"/>
    <mergeCell ref="K26:N2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0"/>
  <sheetViews>
    <sheetView zoomScale="62" zoomScaleNormal="62" topLeftCell="AB80" workbookViewId="0">
      <selection activeCell="AO115" sqref="AO115"/>
    </sheetView>
  </sheetViews>
  <sheetFormatPr defaultColWidth="11" defaultRowHeight="17.6"/>
  <cols>
    <col min="1" max="1" width="10.8333333333333" customWidth="1"/>
    <col min="2" max="2" width="33.6666666666667" customWidth="1"/>
    <col min="3" max="3" width="23.5" customWidth="1"/>
    <col min="4" max="4" width="17" customWidth="1"/>
    <col min="5" max="5" width="58.5" customWidth="1"/>
    <col min="6" max="6" width="15.1666666666667" customWidth="1"/>
    <col min="7" max="9" width="8.66666666666667" customWidth="1"/>
    <col min="10" max="10" width="11.1666666666667" customWidth="1"/>
    <col min="11" max="11" width="15.6666666666667" customWidth="1"/>
    <col min="12" max="12" width="53" customWidth="1"/>
    <col min="13" max="13" width="8.66666666666667" customWidth="1"/>
    <col min="14" max="14" width="10.8333333333333" customWidth="1"/>
    <col min="15" max="15" width="22.8333333333333" customWidth="1"/>
    <col min="16" max="16" width="12.1666666666667" customWidth="1"/>
    <col min="17" max="17" width="16.6666666666667" customWidth="1"/>
    <col min="18" max="18" width="55" customWidth="1"/>
    <col min="19" max="19" width="15.1666666666667" customWidth="1"/>
    <col min="20" max="22" width="8.66666666666667" customWidth="1"/>
    <col min="23" max="23" width="14.6666666666667" customWidth="1"/>
    <col min="24" max="24" width="21.3333333333333" customWidth="1"/>
    <col min="25" max="25" width="29.6666666666667" customWidth="1"/>
    <col min="26" max="26" width="32.6666666666667" customWidth="1"/>
    <col min="27" max="27" width="25.8333333333333" customWidth="1"/>
    <col min="28" max="28" width="52.5" customWidth="1"/>
    <col min="29" max="29" width="8.66666666666667" customWidth="1"/>
    <col min="30" max="30" width="10.8333333333333" customWidth="1"/>
    <col min="31" max="31" width="22.8333333333333" customWidth="1"/>
    <col min="32" max="32" width="12.1666666666667" customWidth="1"/>
    <col min="33" max="33" width="20.8333333333333" customWidth="1"/>
    <col min="34" max="34" width="37.5" customWidth="1"/>
    <col min="35" max="35" width="15.1666666666667" customWidth="1"/>
    <col min="36" max="38" width="8.66666666666667" customWidth="1"/>
    <col min="39" max="39" width="15.5" customWidth="1"/>
    <col min="40" max="40" width="16" customWidth="1"/>
    <col min="41" max="41" width="19" style="1" customWidth="1"/>
    <col min="42" max="42" width="19" customWidth="1"/>
    <col min="43" max="43" width="26" customWidth="1"/>
    <col min="44" max="44" width="41.3333333333333" customWidth="1"/>
  </cols>
  <sheetData>
    <row r="1" ht="35" customHeight="1" spans="1:44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56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"/>
      <c r="AD1" s="5" t="s">
        <v>57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ht="22" customHeight="1" spans="1:44">
      <c r="A2" s="6" t="s">
        <v>11</v>
      </c>
      <c r="B2" s="6"/>
      <c r="C2" s="6" t="s">
        <v>93</v>
      </c>
      <c r="D2" s="6"/>
      <c r="E2" s="6"/>
      <c r="F2" s="6"/>
      <c r="G2" s="6"/>
      <c r="H2" s="6"/>
      <c r="I2" s="6"/>
      <c r="J2" s="6"/>
      <c r="K2" s="6"/>
      <c r="L2" s="6"/>
      <c r="M2" s="7"/>
      <c r="N2" s="6" t="s">
        <v>11</v>
      </c>
      <c r="O2" s="6"/>
      <c r="P2" s="6" t="s">
        <v>93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 t="s">
        <v>11</v>
      </c>
      <c r="AE2" s="6"/>
      <c r="AF2" s="6" t="s">
        <v>93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ht="22" customHeight="1" spans="1:44">
      <c r="A3" s="6" t="s">
        <v>7</v>
      </c>
      <c r="B3" s="6"/>
      <c r="C3" s="6" t="s">
        <v>59</v>
      </c>
      <c r="D3" s="6"/>
      <c r="E3" s="6"/>
      <c r="F3" s="6"/>
      <c r="G3" s="6"/>
      <c r="H3" s="6"/>
      <c r="I3" s="6"/>
      <c r="J3" s="6"/>
      <c r="K3" s="6"/>
      <c r="L3" s="6"/>
      <c r="M3" s="7"/>
      <c r="N3" s="6" t="s">
        <v>7</v>
      </c>
      <c r="O3" s="6"/>
      <c r="P3" s="6" t="s">
        <v>59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6" t="s">
        <v>7</v>
      </c>
      <c r="AE3" s="6"/>
      <c r="AF3" s="6" t="s">
        <v>59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ht="22" customHeight="1" spans="1:44">
      <c r="A4" s="6" t="s">
        <v>9</v>
      </c>
      <c r="B4" s="6"/>
      <c r="C4" s="6" t="s">
        <v>60</v>
      </c>
      <c r="D4" s="6"/>
      <c r="E4" s="6"/>
      <c r="F4" s="6"/>
      <c r="G4" s="6"/>
      <c r="H4" s="6"/>
      <c r="I4" s="6"/>
      <c r="J4" s="6"/>
      <c r="K4" s="6"/>
      <c r="L4" s="6"/>
      <c r="M4" s="7"/>
      <c r="N4" s="6" t="s">
        <v>9</v>
      </c>
      <c r="O4" s="6"/>
      <c r="P4" s="6" t="s">
        <v>60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  <c r="AD4" s="6" t="s">
        <v>9</v>
      </c>
      <c r="AE4" s="6"/>
      <c r="AF4" s="6" t="s">
        <v>60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ht="22" customHeight="1" spans="1:44">
      <c r="A5" s="6" t="s">
        <v>13</v>
      </c>
      <c r="B5" s="6"/>
      <c r="C5" s="6" t="s">
        <v>94</v>
      </c>
      <c r="D5" s="6" t="s">
        <v>15</v>
      </c>
      <c r="E5" s="6">
        <v>18054795309</v>
      </c>
      <c r="F5" s="6" t="s">
        <v>17</v>
      </c>
      <c r="G5" s="8" t="s">
        <v>95</v>
      </c>
      <c r="H5" s="6"/>
      <c r="I5" s="6"/>
      <c r="J5" s="6"/>
      <c r="K5" s="6"/>
      <c r="L5" s="6"/>
      <c r="M5" s="7"/>
      <c r="N5" s="6" t="s">
        <v>13</v>
      </c>
      <c r="O5" s="6"/>
      <c r="P5" s="6" t="s">
        <v>94</v>
      </c>
      <c r="Q5" s="9" t="s">
        <v>15</v>
      </c>
      <c r="R5" s="9">
        <v>18054795309</v>
      </c>
      <c r="S5" s="9" t="s">
        <v>17</v>
      </c>
      <c r="T5" s="8" t="s">
        <v>95</v>
      </c>
      <c r="U5" s="6"/>
      <c r="V5" s="6"/>
      <c r="W5" s="6"/>
      <c r="X5" s="6"/>
      <c r="Y5" s="6"/>
      <c r="Z5" s="6"/>
      <c r="AA5" s="6"/>
      <c r="AB5" s="6"/>
      <c r="AC5" s="7"/>
      <c r="AD5" s="6" t="s">
        <v>13</v>
      </c>
      <c r="AE5" s="6"/>
      <c r="AF5" s="9" t="s">
        <v>94</v>
      </c>
      <c r="AG5" s="9" t="s">
        <v>15</v>
      </c>
      <c r="AH5" s="9">
        <v>18054795309</v>
      </c>
      <c r="AI5" s="9" t="s">
        <v>17</v>
      </c>
      <c r="AJ5" s="8" t="s">
        <v>95</v>
      </c>
      <c r="AK5" s="6"/>
      <c r="AL5" s="6"/>
      <c r="AM5" s="6"/>
      <c r="AN5" s="6"/>
      <c r="AO5" s="6"/>
      <c r="AP5" s="6"/>
      <c r="AQ5" s="6"/>
      <c r="AR5" s="6"/>
    </row>
    <row r="6" ht="29" customHeight="1" spans="1:44">
      <c r="A6" s="10" t="s">
        <v>96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7"/>
      <c r="N6" s="11" t="s">
        <v>96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7"/>
      <c r="AD6" s="12" t="s">
        <v>96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ht="104" customHeight="1" spans="1:44">
      <c r="A7" s="10" t="s">
        <v>0</v>
      </c>
      <c r="B7" s="10" t="s">
        <v>97</v>
      </c>
      <c r="C7" s="13" t="s">
        <v>98</v>
      </c>
      <c r="D7" s="10" t="s">
        <v>99</v>
      </c>
      <c r="E7" s="10" t="s">
        <v>100</v>
      </c>
      <c r="F7" s="10" t="s">
        <v>101</v>
      </c>
      <c r="G7" s="10" t="s">
        <v>102</v>
      </c>
      <c r="H7" s="10" t="s">
        <v>103</v>
      </c>
      <c r="I7" s="10" t="s">
        <v>104</v>
      </c>
      <c r="J7" s="10" t="s">
        <v>105</v>
      </c>
      <c r="K7" s="10" t="s">
        <v>106</v>
      </c>
      <c r="L7" s="14" t="s">
        <v>107</v>
      </c>
      <c r="M7" s="7"/>
      <c r="N7" s="11" t="s">
        <v>0</v>
      </c>
      <c r="O7" s="11" t="s">
        <v>97</v>
      </c>
      <c r="P7" s="15" t="s">
        <v>98</v>
      </c>
      <c r="Q7" s="11" t="s">
        <v>99</v>
      </c>
      <c r="R7" s="11" t="s">
        <v>100</v>
      </c>
      <c r="S7" s="11" t="s">
        <v>101</v>
      </c>
      <c r="T7" s="11" t="s">
        <v>102</v>
      </c>
      <c r="U7" s="11" t="s">
        <v>103</v>
      </c>
      <c r="V7" s="11" t="s">
        <v>104</v>
      </c>
      <c r="W7" s="11" t="s">
        <v>105</v>
      </c>
      <c r="X7" s="11" t="s">
        <v>106</v>
      </c>
      <c r="Y7" s="16" t="s">
        <v>108</v>
      </c>
      <c r="Z7" s="16" t="s">
        <v>109</v>
      </c>
      <c r="AA7" s="16" t="s">
        <v>110</v>
      </c>
      <c r="AB7" s="17" t="s">
        <v>111</v>
      </c>
      <c r="AC7" s="7"/>
      <c r="AD7" s="12" t="s">
        <v>0</v>
      </c>
      <c r="AE7" s="12" t="s">
        <v>97</v>
      </c>
      <c r="AF7" s="18" t="s">
        <v>98</v>
      </c>
      <c r="AG7" s="12" t="s">
        <v>99</v>
      </c>
      <c r="AH7" s="12" t="s">
        <v>100</v>
      </c>
      <c r="AI7" s="12" t="s">
        <v>101</v>
      </c>
      <c r="AJ7" s="12" t="s">
        <v>102</v>
      </c>
      <c r="AK7" s="12" t="s">
        <v>103</v>
      </c>
      <c r="AL7" s="12" t="s">
        <v>104</v>
      </c>
      <c r="AM7" s="12" t="s">
        <v>105</v>
      </c>
      <c r="AN7" s="12" t="s">
        <v>106</v>
      </c>
      <c r="AO7" s="16" t="s">
        <v>108</v>
      </c>
      <c r="AP7" s="16" t="s">
        <v>109</v>
      </c>
      <c r="AQ7" s="16" t="s">
        <v>110</v>
      </c>
      <c r="AR7" s="19" t="s">
        <v>112</v>
      </c>
    </row>
    <row r="8" spans="1:44">
      <c r="A8" s="20">
        <v>1</v>
      </c>
      <c r="B8" s="21" t="s">
        <v>29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7"/>
      <c r="N8" s="20">
        <v>1</v>
      </c>
      <c r="O8" s="21" t="s">
        <v>29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7"/>
      <c r="AD8" s="20">
        <v>1</v>
      </c>
      <c r="AE8" s="21" t="s">
        <v>29</v>
      </c>
      <c r="AF8" s="21"/>
      <c r="AG8" s="21"/>
      <c r="AH8" s="21"/>
      <c r="AI8" s="21"/>
      <c r="AJ8" s="21"/>
      <c r="AK8" s="21"/>
      <c r="AL8" s="21"/>
      <c r="AM8" s="21"/>
      <c r="AN8" s="21"/>
      <c r="AO8" s="20">
        <f>X8-AN8</f>
        <v>0</v>
      </c>
      <c r="AP8" s="20"/>
      <c r="AQ8" s="20"/>
      <c r="AR8" s="21"/>
    </row>
    <row r="9" spans="1:44">
      <c r="A9" s="20">
        <v>2</v>
      </c>
      <c r="B9" s="22" t="s">
        <v>113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7"/>
      <c r="N9" s="20">
        <v>2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7"/>
      <c r="AD9" s="20">
        <v>2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0"/>
      <c r="AP9" s="20"/>
      <c r="AQ9" s="20"/>
      <c r="AR9" s="21"/>
    </row>
    <row r="10" spans="1:44">
      <c r="A10" s="20">
        <v>3</v>
      </c>
      <c r="B10" s="23" t="s">
        <v>114</v>
      </c>
      <c r="C10" s="24" t="s">
        <v>115</v>
      </c>
      <c r="D10" s="24" t="s">
        <v>115</v>
      </c>
      <c r="E10" s="24" t="s">
        <v>115</v>
      </c>
      <c r="F10" s="24" t="s">
        <v>115</v>
      </c>
      <c r="G10" s="24" t="s">
        <v>115</v>
      </c>
      <c r="H10" s="24" t="s">
        <v>115</v>
      </c>
      <c r="I10" s="24" t="s">
        <v>115</v>
      </c>
      <c r="J10" s="24" t="s">
        <v>115</v>
      </c>
      <c r="K10" s="24">
        <f>SUM(K8:K9)</f>
        <v>0</v>
      </c>
      <c r="L10" s="24"/>
      <c r="M10" s="7"/>
      <c r="N10" s="20">
        <v>3</v>
      </c>
      <c r="O10" s="25" t="s">
        <v>114</v>
      </c>
      <c r="P10" s="24" t="s">
        <v>115</v>
      </c>
      <c r="Q10" s="24" t="s">
        <v>115</v>
      </c>
      <c r="R10" s="24" t="s">
        <v>115</v>
      </c>
      <c r="S10" s="24" t="s">
        <v>115</v>
      </c>
      <c r="T10" s="24" t="s">
        <v>115</v>
      </c>
      <c r="U10" s="24" t="s">
        <v>115</v>
      </c>
      <c r="V10" s="24" t="s">
        <v>115</v>
      </c>
      <c r="W10" s="24" t="s">
        <v>115</v>
      </c>
      <c r="X10" s="24">
        <v>0</v>
      </c>
      <c r="Y10" s="24"/>
      <c r="Z10" s="24"/>
      <c r="AA10" s="24"/>
      <c r="AB10" s="24"/>
      <c r="AC10" s="7"/>
      <c r="AD10" s="20">
        <v>3</v>
      </c>
      <c r="AE10" s="25" t="s">
        <v>114</v>
      </c>
      <c r="AF10" s="24" t="s">
        <v>115</v>
      </c>
      <c r="AG10" s="24" t="s">
        <v>115</v>
      </c>
      <c r="AH10" s="24" t="s">
        <v>115</v>
      </c>
      <c r="AI10" s="24" t="s">
        <v>115</v>
      </c>
      <c r="AJ10" s="24" t="s">
        <v>115</v>
      </c>
      <c r="AK10" s="24" t="s">
        <v>115</v>
      </c>
      <c r="AL10" s="24" t="s">
        <v>115</v>
      </c>
      <c r="AM10" s="24" t="s">
        <v>115</v>
      </c>
      <c r="AN10" s="24"/>
      <c r="AO10" s="24">
        <v>0</v>
      </c>
      <c r="AP10" s="24">
        <v>0</v>
      </c>
      <c r="AQ10" s="24">
        <v>0</v>
      </c>
      <c r="AR10" s="24"/>
    </row>
    <row r="11" spans="1:44">
      <c r="A11" s="20">
        <v>4</v>
      </c>
      <c r="B11" s="21" t="s">
        <v>31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7"/>
      <c r="N11" s="20">
        <v>4</v>
      </c>
      <c r="O11" s="21" t="s">
        <v>31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7"/>
      <c r="AD11" s="20">
        <v>4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0"/>
      <c r="AP11" s="20"/>
      <c r="AQ11" s="20"/>
      <c r="AR11" s="21"/>
    </row>
    <row r="12" spans="1:44">
      <c r="A12" s="20">
        <v>5</v>
      </c>
      <c r="B12" s="21" t="s">
        <v>113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7"/>
      <c r="N12" s="20">
        <v>5</v>
      </c>
      <c r="O12" s="21" t="s">
        <v>31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7"/>
      <c r="AD12" s="20">
        <v>5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0"/>
      <c r="AP12" s="20"/>
      <c r="AQ12" s="20"/>
      <c r="AR12" s="21"/>
    </row>
    <row r="13" spans="1:44">
      <c r="A13" s="20">
        <v>6</v>
      </c>
      <c r="B13" s="23" t="s">
        <v>116</v>
      </c>
      <c r="C13" s="24" t="s">
        <v>115</v>
      </c>
      <c r="D13" s="24" t="s">
        <v>115</v>
      </c>
      <c r="E13" s="24" t="s">
        <v>115</v>
      </c>
      <c r="F13" s="24" t="s">
        <v>115</v>
      </c>
      <c r="G13" s="24" t="s">
        <v>115</v>
      </c>
      <c r="H13" s="24" t="s">
        <v>115</v>
      </c>
      <c r="I13" s="24" t="s">
        <v>115</v>
      </c>
      <c r="J13" s="24" t="s">
        <v>115</v>
      </c>
      <c r="K13" s="24">
        <v>0</v>
      </c>
      <c r="L13" s="24"/>
      <c r="M13" s="7"/>
      <c r="N13" s="20">
        <v>6</v>
      </c>
      <c r="O13" s="25" t="s">
        <v>116</v>
      </c>
      <c r="P13" s="24" t="s">
        <v>115</v>
      </c>
      <c r="Q13" s="24" t="s">
        <v>115</v>
      </c>
      <c r="R13" s="24" t="s">
        <v>115</v>
      </c>
      <c r="S13" s="24" t="s">
        <v>115</v>
      </c>
      <c r="T13" s="24" t="s">
        <v>115</v>
      </c>
      <c r="U13" s="24" t="s">
        <v>115</v>
      </c>
      <c r="V13" s="24" t="s">
        <v>115</v>
      </c>
      <c r="W13" s="24" t="s">
        <v>115</v>
      </c>
      <c r="X13" s="24">
        <v>0</v>
      </c>
      <c r="Y13" s="24"/>
      <c r="Z13" s="24"/>
      <c r="AA13" s="24"/>
      <c r="AB13" s="24"/>
      <c r="AC13" s="7"/>
      <c r="AD13" s="20">
        <v>6</v>
      </c>
      <c r="AE13" s="25" t="s">
        <v>116</v>
      </c>
      <c r="AF13" s="24" t="s">
        <v>115</v>
      </c>
      <c r="AG13" s="24" t="s">
        <v>115</v>
      </c>
      <c r="AH13" s="24" t="s">
        <v>115</v>
      </c>
      <c r="AI13" s="24" t="s">
        <v>115</v>
      </c>
      <c r="AJ13" s="24" t="s">
        <v>115</v>
      </c>
      <c r="AK13" s="24" t="s">
        <v>115</v>
      </c>
      <c r="AL13" s="24" t="s">
        <v>115</v>
      </c>
      <c r="AM13" s="24" t="s">
        <v>115</v>
      </c>
      <c r="AN13" s="24"/>
      <c r="AO13" s="24">
        <v>0</v>
      </c>
      <c r="AP13" s="24">
        <v>0</v>
      </c>
      <c r="AQ13" s="24">
        <v>0</v>
      </c>
      <c r="AR13" s="24"/>
    </row>
    <row r="14" spans="1:44">
      <c r="A14" s="20">
        <v>7</v>
      </c>
      <c r="B14" s="21" t="s">
        <v>117</v>
      </c>
      <c r="C14" s="26"/>
      <c r="D14" s="26"/>
      <c r="E14" s="26" t="s">
        <v>118</v>
      </c>
      <c r="F14" s="26">
        <v>1</v>
      </c>
      <c r="G14" s="26" t="s">
        <v>119</v>
      </c>
      <c r="H14" s="26">
        <v>2</v>
      </c>
      <c r="I14" s="26" t="s">
        <v>120</v>
      </c>
      <c r="J14" s="26">
        <v>500</v>
      </c>
      <c r="K14" s="26">
        <f>F14*H14*J14</f>
        <v>1000</v>
      </c>
      <c r="L14" s="26" t="s">
        <v>121</v>
      </c>
      <c r="M14" s="7"/>
      <c r="N14" s="20">
        <v>7</v>
      </c>
      <c r="O14" s="21" t="s">
        <v>117</v>
      </c>
      <c r="P14" s="26"/>
      <c r="Q14" s="26"/>
      <c r="R14" s="26" t="s">
        <v>118</v>
      </c>
      <c r="S14" s="26">
        <v>0</v>
      </c>
      <c r="T14" s="26" t="s">
        <v>119</v>
      </c>
      <c r="U14" s="26">
        <v>0</v>
      </c>
      <c r="V14" s="26" t="s">
        <v>120</v>
      </c>
      <c r="W14" s="26">
        <v>0</v>
      </c>
      <c r="X14" s="26">
        <f>S14*U14*W14</f>
        <v>0</v>
      </c>
      <c r="Y14" s="26">
        <f>X14-K14</f>
        <v>-1000</v>
      </c>
      <c r="Z14" s="21" t="s">
        <v>90</v>
      </c>
      <c r="AA14" s="21"/>
      <c r="AB14" s="21"/>
      <c r="AC14" s="7"/>
      <c r="AD14" s="20">
        <v>7</v>
      </c>
      <c r="AE14" s="21" t="s">
        <v>122</v>
      </c>
      <c r="AF14" s="26"/>
      <c r="AG14" s="26"/>
      <c r="AH14" s="26" t="s">
        <v>123</v>
      </c>
      <c r="AI14" s="26">
        <v>1</v>
      </c>
      <c r="AJ14" s="26" t="s">
        <v>119</v>
      </c>
      <c r="AK14" s="26">
        <v>1</v>
      </c>
      <c r="AL14" s="26" t="s">
        <v>120</v>
      </c>
      <c r="AM14" s="26">
        <v>2000</v>
      </c>
      <c r="AN14" s="26">
        <f>AI14*AK14*AM14</f>
        <v>2000</v>
      </c>
      <c r="AO14" s="26">
        <f>AN14-X15</f>
        <v>0</v>
      </c>
      <c r="AP14" s="20"/>
      <c r="AQ14" s="20"/>
      <c r="AR14" s="21" t="s">
        <v>124</v>
      </c>
    </row>
    <row r="15" spans="1:44">
      <c r="A15" s="20">
        <v>8</v>
      </c>
      <c r="B15" s="21" t="s">
        <v>122</v>
      </c>
      <c r="C15" s="26"/>
      <c r="D15" s="26"/>
      <c r="E15" s="26" t="s">
        <v>123</v>
      </c>
      <c r="F15" s="26">
        <v>1</v>
      </c>
      <c r="G15" s="26" t="s">
        <v>119</v>
      </c>
      <c r="H15" s="26">
        <v>1</v>
      </c>
      <c r="I15" s="26" t="s">
        <v>120</v>
      </c>
      <c r="J15" s="26">
        <v>3000</v>
      </c>
      <c r="K15" s="26">
        <f>F15*H15*J15</f>
        <v>3000</v>
      </c>
      <c r="L15" s="26" t="s">
        <v>125</v>
      </c>
      <c r="M15" s="7"/>
      <c r="N15" s="20">
        <v>8</v>
      </c>
      <c r="O15" s="21" t="s">
        <v>122</v>
      </c>
      <c r="P15" s="26"/>
      <c r="Q15" s="26"/>
      <c r="R15" s="26" t="s">
        <v>123</v>
      </c>
      <c r="S15" s="26">
        <v>1</v>
      </c>
      <c r="T15" s="26" t="s">
        <v>119</v>
      </c>
      <c r="U15" s="26">
        <v>1</v>
      </c>
      <c r="V15" s="26" t="s">
        <v>120</v>
      </c>
      <c r="W15" s="26">
        <v>2000</v>
      </c>
      <c r="X15" s="26">
        <f>S15*U15*W15</f>
        <v>2000</v>
      </c>
      <c r="Y15" s="26">
        <f>X15-K15</f>
        <v>-1000</v>
      </c>
      <c r="Z15" s="21" t="s">
        <v>91</v>
      </c>
      <c r="AA15" s="21"/>
      <c r="AB15" s="21" t="s">
        <v>126</v>
      </c>
      <c r="AC15" s="7"/>
      <c r="AD15" s="20">
        <v>8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0"/>
      <c r="AP15" s="20"/>
      <c r="AQ15" s="20"/>
      <c r="AR15" s="21"/>
    </row>
    <row r="16" spans="1:44">
      <c r="A16" s="20">
        <v>9</v>
      </c>
      <c r="B16" s="21" t="s">
        <v>127</v>
      </c>
      <c r="C16" s="26"/>
      <c r="D16" s="26"/>
      <c r="E16" s="26" t="s">
        <v>128</v>
      </c>
      <c r="F16" s="26">
        <v>1</v>
      </c>
      <c r="G16" s="26" t="s">
        <v>119</v>
      </c>
      <c r="H16" s="26">
        <v>1</v>
      </c>
      <c r="I16" s="26" t="s">
        <v>120</v>
      </c>
      <c r="J16" s="26">
        <v>8000</v>
      </c>
      <c r="K16" s="26">
        <f>F16*H16*J16</f>
        <v>8000</v>
      </c>
      <c r="L16" s="26" t="s">
        <v>129</v>
      </c>
      <c r="M16" s="7"/>
      <c r="N16" s="20">
        <v>9</v>
      </c>
      <c r="O16" s="21" t="s">
        <v>127</v>
      </c>
      <c r="P16" s="26"/>
      <c r="Q16" s="26"/>
      <c r="R16" s="26" t="s">
        <v>128</v>
      </c>
      <c r="S16" s="26">
        <v>0</v>
      </c>
      <c r="T16" s="26" t="s">
        <v>119</v>
      </c>
      <c r="U16" s="26">
        <v>0</v>
      </c>
      <c r="V16" s="26" t="s">
        <v>120</v>
      </c>
      <c r="W16" s="26">
        <v>0</v>
      </c>
      <c r="X16" s="26">
        <f>S16*U16*W16</f>
        <v>0</v>
      </c>
      <c r="Y16" s="26">
        <f>X16-K16</f>
        <v>-8000</v>
      </c>
      <c r="Z16" s="21" t="s">
        <v>90</v>
      </c>
      <c r="AA16" s="21"/>
      <c r="AB16" s="21"/>
      <c r="AC16" s="7"/>
      <c r="AD16" s="20">
        <v>9</v>
      </c>
      <c r="AE16" s="27" t="s">
        <v>130</v>
      </c>
      <c r="AF16" s="28" t="s">
        <v>115</v>
      </c>
      <c r="AG16" s="28" t="s">
        <v>115</v>
      </c>
      <c r="AH16" s="28" t="s">
        <v>115</v>
      </c>
      <c r="AI16" s="28" t="s">
        <v>115</v>
      </c>
      <c r="AJ16" s="28" t="s">
        <v>115</v>
      </c>
      <c r="AK16" s="28" t="s">
        <v>115</v>
      </c>
      <c r="AL16" s="28" t="s">
        <v>115</v>
      </c>
      <c r="AM16" s="28" t="s">
        <v>115</v>
      </c>
      <c r="AN16" s="29">
        <f>SUM(AN14:AN14)</f>
        <v>2000</v>
      </c>
      <c r="AO16" s="28">
        <f>SUM(AO14:AO14)</f>
        <v>0</v>
      </c>
      <c r="AP16" s="28">
        <v>0</v>
      </c>
      <c r="AQ16" s="28">
        <v>0</v>
      </c>
      <c r="AR16" s="28"/>
    </row>
    <row r="17" spans="1:44">
      <c r="A17" s="20">
        <v>10</v>
      </c>
      <c r="B17" s="21" t="s">
        <v>113</v>
      </c>
      <c r="C17" s="21"/>
      <c r="D17" s="21"/>
      <c r="E17" s="21"/>
      <c r="F17" s="21"/>
      <c r="G17" s="21"/>
      <c r="H17" s="21"/>
      <c r="I17" s="26"/>
      <c r="J17" s="21"/>
      <c r="K17" s="21"/>
      <c r="L17" s="21"/>
      <c r="M17" s="7"/>
      <c r="N17" s="20">
        <v>10</v>
      </c>
      <c r="O17" s="21" t="s">
        <v>33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7"/>
      <c r="AD17" s="20">
        <v>10</v>
      </c>
      <c r="AE17" s="21" t="s">
        <v>131</v>
      </c>
      <c r="AF17" s="26" t="s">
        <v>132</v>
      </c>
      <c r="AG17" s="26" t="s">
        <v>133</v>
      </c>
      <c r="AH17" s="26" t="s">
        <v>134</v>
      </c>
      <c r="AI17" s="26">
        <v>124.81</v>
      </c>
      <c r="AJ17" s="26" t="s">
        <v>135</v>
      </c>
      <c r="AK17" s="26">
        <v>1</v>
      </c>
      <c r="AL17" s="26" t="s">
        <v>120</v>
      </c>
      <c r="AM17" s="30">
        <v>80</v>
      </c>
      <c r="AN17" s="30">
        <f t="shared" ref="AN17:AN43" si="0">AI17*AK17*AM17</f>
        <v>9984.8</v>
      </c>
      <c r="AO17" s="31">
        <f>AN17-X20</f>
        <v>0</v>
      </c>
      <c r="AP17" s="32"/>
      <c r="AQ17" s="32"/>
      <c r="AR17" s="33"/>
    </row>
    <row r="18" spans="1:44">
      <c r="A18" s="20">
        <v>11</v>
      </c>
      <c r="B18" s="34" t="s">
        <v>130</v>
      </c>
      <c r="C18" s="35" t="s">
        <v>115</v>
      </c>
      <c r="D18" s="35" t="s">
        <v>115</v>
      </c>
      <c r="E18" s="35" t="s">
        <v>115</v>
      </c>
      <c r="F18" s="35" t="s">
        <v>115</v>
      </c>
      <c r="G18" s="35" t="s">
        <v>115</v>
      </c>
      <c r="H18" s="35" t="s">
        <v>115</v>
      </c>
      <c r="I18" s="35" t="s">
        <v>115</v>
      </c>
      <c r="J18" s="35" t="s">
        <v>115</v>
      </c>
      <c r="K18" s="35">
        <f>SUM(K14:K17)</f>
        <v>12000</v>
      </c>
      <c r="L18" s="35"/>
      <c r="M18" s="7"/>
      <c r="N18" s="20">
        <v>11</v>
      </c>
      <c r="O18" s="36" t="s">
        <v>130</v>
      </c>
      <c r="P18" s="37" t="s">
        <v>115</v>
      </c>
      <c r="Q18" s="37" t="s">
        <v>115</v>
      </c>
      <c r="R18" s="37" t="s">
        <v>115</v>
      </c>
      <c r="S18" s="37" t="s">
        <v>115</v>
      </c>
      <c r="T18" s="37" t="s">
        <v>115</v>
      </c>
      <c r="U18" s="37" t="s">
        <v>115</v>
      </c>
      <c r="V18" s="37" t="s">
        <v>115</v>
      </c>
      <c r="W18" s="37" t="s">
        <v>115</v>
      </c>
      <c r="X18" s="37">
        <f>SUM(X14:X16)</f>
        <v>2000</v>
      </c>
      <c r="Y18" s="37">
        <f>SUM(Y14:Y16)</f>
        <v>-10000</v>
      </c>
      <c r="Z18" s="37"/>
      <c r="AA18" s="37"/>
      <c r="AB18" s="37"/>
      <c r="AC18" s="7"/>
      <c r="AD18" s="20">
        <v>11</v>
      </c>
      <c r="AE18" s="21" t="s">
        <v>136</v>
      </c>
      <c r="AF18" s="26" t="s">
        <v>137</v>
      </c>
      <c r="AG18" s="26" t="s">
        <v>138</v>
      </c>
      <c r="AH18" s="26" t="s">
        <v>139</v>
      </c>
      <c r="AI18" s="26">
        <v>26.4</v>
      </c>
      <c r="AJ18" s="26" t="s">
        <v>135</v>
      </c>
      <c r="AK18" s="26">
        <v>1</v>
      </c>
      <c r="AL18" s="38" t="s">
        <v>120</v>
      </c>
      <c r="AM18" s="30">
        <v>235.849056603774</v>
      </c>
      <c r="AN18" s="30">
        <f t="shared" si="0"/>
        <v>6226.41509433963</v>
      </c>
      <c r="AO18" s="31">
        <f>AN18-X22</f>
        <v>0</v>
      </c>
      <c r="AP18" s="32"/>
      <c r="AQ18" s="32"/>
      <c r="AR18" s="33"/>
    </row>
    <row r="19" spans="1:44">
      <c r="A19" s="20">
        <v>12</v>
      </c>
      <c r="B19" s="21" t="s">
        <v>131</v>
      </c>
      <c r="C19" s="26" t="s">
        <v>140</v>
      </c>
      <c r="D19" s="26" t="s">
        <v>133</v>
      </c>
      <c r="E19" s="26" t="s">
        <v>141</v>
      </c>
      <c r="F19" s="26">
        <v>120</v>
      </c>
      <c r="G19" s="26" t="s">
        <v>135</v>
      </c>
      <c r="H19" s="26">
        <v>1</v>
      </c>
      <c r="I19" s="26" t="s">
        <v>120</v>
      </c>
      <c r="J19" s="26">
        <v>70</v>
      </c>
      <c r="K19" s="26">
        <f t="shared" ref="K19:K52" si="1">F19*H19*J19</f>
        <v>8400</v>
      </c>
      <c r="L19" s="26" t="s">
        <v>142</v>
      </c>
      <c r="M19" s="7"/>
      <c r="N19" s="20">
        <v>12</v>
      </c>
      <c r="O19" s="21" t="s">
        <v>131</v>
      </c>
      <c r="P19" s="26" t="s">
        <v>140</v>
      </c>
      <c r="Q19" s="26" t="s">
        <v>133</v>
      </c>
      <c r="R19" s="26" t="s">
        <v>141</v>
      </c>
      <c r="S19" s="26">
        <v>0</v>
      </c>
      <c r="T19" s="26" t="s">
        <v>135</v>
      </c>
      <c r="U19" s="26">
        <v>0</v>
      </c>
      <c r="V19" s="26" t="s">
        <v>120</v>
      </c>
      <c r="W19" s="30">
        <v>70</v>
      </c>
      <c r="X19" s="30">
        <f t="shared" ref="X19:X22" si="2">S19*U19*W19</f>
        <v>0</v>
      </c>
      <c r="Y19" s="31">
        <f>X19-K19</f>
        <v>-8400</v>
      </c>
      <c r="Z19" s="32" t="s">
        <v>90</v>
      </c>
      <c r="AA19" s="32" t="s">
        <v>143</v>
      </c>
      <c r="AB19" s="32"/>
      <c r="AC19" s="7"/>
      <c r="AD19" s="20">
        <v>12</v>
      </c>
      <c r="AE19" s="21" t="s">
        <v>144</v>
      </c>
      <c r="AF19" s="26" t="s">
        <v>145</v>
      </c>
      <c r="AG19" s="26" t="s">
        <v>133</v>
      </c>
      <c r="AH19" s="26" t="s">
        <v>146</v>
      </c>
      <c r="AI19" s="38">
        <v>5</v>
      </c>
      <c r="AJ19" s="38" t="s">
        <v>135</v>
      </c>
      <c r="AK19" s="38">
        <v>1</v>
      </c>
      <c r="AL19" s="38" t="s">
        <v>120</v>
      </c>
      <c r="AM19" s="39">
        <v>80</v>
      </c>
      <c r="AN19" s="39">
        <f t="shared" si="0"/>
        <v>400</v>
      </c>
      <c r="AO19" s="31">
        <f>AN19-X24</f>
        <v>0</v>
      </c>
      <c r="AP19" s="21"/>
      <c r="AQ19" s="21"/>
      <c r="AR19" s="21"/>
    </row>
    <row r="20" ht="71" spans="1:44">
      <c r="A20" s="20">
        <v>13</v>
      </c>
      <c r="B20" s="21" t="s">
        <v>136</v>
      </c>
      <c r="C20" s="26" t="s">
        <v>147</v>
      </c>
      <c r="D20" s="26" t="s">
        <v>138</v>
      </c>
      <c r="E20" s="26" t="s">
        <v>148</v>
      </c>
      <c r="F20" s="26">
        <v>48</v>
      </c>
      <c r="G20" s="26" t="s">
        <v>135</v>
      </c>
      <c r="H20" s="26">
        <v>1</v>
      </c>
      <c r="I20" s="26" t="s">
        <v>120</v>
      </c>
      <c r="J20" s="26">
        <v>295</v>
      </c>
      <c r="K20" s="26">
        <f t="shared" si="1"/>
        <v>14160</v>
      </c>
      <c r="L20" s="40" t="s">
        <v>149</v>
      </c>
      <c r="M20" s="7"/>
      <c r="N20" s="20">
        <v>13</v>
      </c>
      <c r="O20" s="21" t="s">
        <v>131</v>
      </c>
      <c r="P20" s="26" t="s">
        <v>132</v>
      </c>
      <c r="Q20" s="26" t="s">
        <v>133</v>
      </c>
      <c r="R20" s="26" t="s">
        <v>134</v>
      </c>
      <c r="S20" s="26">
        <v>124.81</v>
      </c>
      <c r="T20" s="26" t="s">
        <v>135</v>
      </c>
      <c r="U20" s="26">
        <v>1</v>
      </c>
      <c r="V20" s="26" t="s">
        <v>120</v>
      </c>
      <c r="W20" s="30">
        <v>80</v>
      </c>
      <c r="X20" s="30">
        <f t="shared" si="2"/>
        <v>9984.8</v>
      </c>
      <c r="Y20" s="31">
        <f>X20-0</f>
        <v>9984.8</v>
      </c>
      <c r="Z20" s="32" t="s">
        <v>89</v>
      </c>
      <c r="AA20" s="32" t="s">
        <v>143</v>
      </c>
      <c r="AB20" s="33" t="s">
        <v>150</v>
      </c>
      <c r="AC20" s="7"/>
      <c r="AD20" s="20">
        <v>13</v>
      </c>
      <c r="AE20" s="21" t="s">
        <v>151</v>
      </c>
      <c r="AF20" s="26" t="s">
        <v>152</v>
      </c>
      <c r="AG20" s="26" t="s">
        <v>153</v>
      </c>
      <c r="AH20" s="26" t="s">
        <v>154</v>
      </c>
      <c r="AI20" s="38">
        <v>9.42</v>
      </c>
      <c r="AJ20" s="38" t="s">
        <v>155</v>
      </c>
      <c r="AK20" s="38">
        <v>1</v>
      </c>
      <c r="AL20" s="38" t="s">
        <v>120</v>
      </c>
      <c r="AM20" s="39">
        <v>39.8396226415094</v>
      </c>
      <c r="AN20" s="39">
        <f t="shared" si="0"/>
        <v>375.289245283019</v>
      </c>
      <c r="AO20" s="31">
        <f>AN20-X25</f>
        <v>0</v>
      </c>
      <c r="AP20" s="21"/>
      <c r="AQ20" s="21"/>
      <c r="AR20" s="21"/>
    </row>
    <row r="21" spans="1:44">
      <c r="A21" s="20">
        <v>14</v>
      </c>
      <c r="B21" s="21" t="s">
        <v>156</v>
      </c>
      <c r="C21" s="26" t="s">
        <v>157</v>
      </c>
      <c r="D21" s="26" t="s">
        <v>133</v>
      </c>
      <c r="E21" s="26" t="s">
        <v>158</v>
      </c>
      <c r="F21" s="26">
        <v>38.58</v>
      </c>
      <c r="G21" s="26" t="s">
        <v>135</v>
      </c>
      <c r="H21" s="26">
        <v>1</v>
      </c>
      <c r="I21" s="26" t="s">
        <v>120</v>
      </c>
      <c r="J21" s="41">
        <v>60.377358490566</v>
      </c>
      <c r="K21" s="41">
        <f t="shared" si="1"/>
        <v>2329.35849056604</v>
      </c>
      <c r="L21" s="26" t="s">
        <v>159</v>
      </c>
      <c r="M21" s="7"/>
      <c r="N21" s="20">
        <v>14</v>
      </c>
      <c r="O21" s="21" t="s">
        <v>136</v>
      </c>
      <c r="P21" s="26" t="s">
        <v>147</v>
      </c>
      <c r="Q21" s="26" t="s">
        <v>138</v>
      </c>
      <c r="R21" s="26" t="s">
        <v>148</v>
      </c>
      <c r="S21" s="26">
        <v>0</v>
      </c>
      <c r="T21" s="26" t="s">
        <v>135</v>
      </c>
      <c r="U21" s="26">
        <v>1</v>
      </c>
      <c r="V21" s="26" t="s">
        <v>120</v>
      </c>
      <c r="W21" s="30">
        <v>295</v>
      </c>
      <c r="X21" s="30">
        <f t="shared" si="2"/>
        <v>0</v>
      </c>
      <c r="Y21" s="31">
        <f>X21-K20</f>
        <v>-14160</v>
      </c>
      <c r="Z21" s="32" t="s">
        <v>90</v>
      </c>
      <c r="AA21" s="32" t="s">
        <v>143</v>
      </c>
      <c r="AB21" s="32"/>
      <c r="AC21" s="7"/>
      <c r="AD21" s="20">
        <v>14</v>
      </c>
      <c r="AE21" s="21" t="s">
        <v>160</v>
      </c>
      <c r="AF21" s="26" t="s">
        <v>161</v>
      </c>
      <c r="AG21" s="26" t="s">
        <v>138</v>
      </c>
      <c r="AH21" s="26" t="s">
        <v>162</v>
      </c>
      <c r="AI21" s="26">
        <v>10.56</v>
      </c>
      <c r="AJ21" s="26" t="s">
        <v>135</v>
      </c>
      <c r="AK21" s="26">
        <v>1</v>
      </c>
      <c r="AL21" s="38" t="s">
        <v>120</v>
      </c>
      <c r="AM21" s="30">
        <v>240</v>
      </c>
      <c r="AN21" s="30">
        <f t="shared" si="0"/>
        <v>2534.4</v>
      </c>
      <c r="AO21" s="31">
        <f>AN21-X27</f>
        <v>0</v>
      </c>
      <c r="AP21" s="21"/>
      <c r="AQ21" s="21"/>
      <c r="AR21" s="21"/>
    </row>
    <row r="22" ht="87" customHeight="1" spans="1:44">
      <c r="A22" s="20">
        <v>15</v>
      </c>
      <c r="B22" s="21" t="s">
        <v>144</v>
      </c>
      <c r="C22" s="26" t="s">
        <v>145</v>
      </c>
      <c r="D22" s="26" t="s">
        <v>133</v>
      </c>
      <c r="E22" s="26" t="s">
        <v>146</v>
      </c>
      <c r="F22" s="26">
        <v>8</v>
      </c>
      <c r="G22" s="26" t="s">
        <v>135</v>
      </c>
      <c r="H22" s="26">
        <v>1</v>
      </c>
      <c r="I22" s="26" t="s">
        <v>120</v>
      </c>
      <c r="J22" s="41">
        <v>80</v>
      </c>
      <c r="K22" s="41">
        <f t="shared" si="1"/>
        <v>640</v>
      </c>
      <c r="L22" s="26" t="s">
        <v>163</v>
      </c>
      <c r="M22" s="7"/>
      <c r="N22" s="20">
        <v>15</v>
      </c>
      <c r="O22" s="21" t="s">
        <v>136</v>
      </c>
      <c r="P22" s="26" t="s">
        <v>137</v>
      </c>
      <c r="Q22" s="26" t="s">
        <v>138</v>
      </c>
      <c r="R22" s="26" t="s">
        <v>139</v>
      </c>
      <c r="S22" s="26">
        <v>26.4</v>
      </c>
      <c r="T22" s="26" t="s">
        <v>135</v>
      </c>
      <c r="U22" s="26">
        <v>1</v>
      </c>
      <c r="V22" s="38" t="s">
        <v>120</v>
      </c>
      <c r="W22" s="30">
        <v>235.849056603774</v>
      </c>
      <c r="X22" s="30">
        <f t="shared" si="2"/>
        <v>6226.41509433963</v>
      </c>
      <c r="Y22" s="31">
        <f>X22-0</f>
        <v>6226.41509433963</v>
      </c>
      <c r="Z22" s="32" t="s">
        <v>89</v>
      </c>
      <c r="AA22" s="32" t="s">
        <v>143</v>
      </c>
      <c r="AB22" s="33" t="s">
        <v>164</v>
      </c>
      <c r="AC22" s="7"/>
      <c r="AD22" s="20">
        <v>15</v>
      </c>
      <c r="AE22" s="21" t="s">
        <v>165</v>
      </c>
      <c r="AF22" s="26" t="s">
        <v>157</v>
      </c>
      <c r="AG22" s="26" t="s">
        <v>133</v>
      </c>
      <c r="AH22" s="26" t="s">
        <v>158</v>
      </c>
      <c r="AI22" s="26">
        <v>10.56</v>
      </c>
      <c r="AJ22" s="26" t="s">
        <v>135</v>
      </c>
      <c r="AK22" s="26">
        <v>1</v>
      </c>
      <c r="AL22" s="26" t="s">
        <v>120</v>
      </c>
      <c r="AM22" s="30">
        <v>60.377358490566</v>
      </c>
      <c r="AN22" s="30">
        <f t="shared" si="0"/>
        <v>637.584905660377</v>
      </c>
      <c r="AO22" s="30">
        <f>AN22-X28</f>
        <v>0</v>
      </c>
      <c r="AP22" s="21"/>
      <c r="AQ22" s="21"/>
      <c r="AR22" s="21"/>
    </row>
    <row r="23" spans="1:44">
      <c r="A23" s="20">
        <v>16</v>
      </c>
      <c r="B23" s="21" t="s">
        <v>151</v>
      </c>
      <c r="C23" s="26" t="s">
        <v>152</v>
      </c>
      <c r="D23" s="26" t="s">
        <v>153</v>
      </c>
      <c r="E23" s="26" t="s">
        <v>154</v>
      </c>
      <c r="F23" s="26">
        <v>20.1</v>
      </c>
      <c r="G23" s="26" t="s">
        <v>155</v>
      </c>
      <c r="H23" s="26">
        <v>1</v>
      </c>
      <c r="I23" s="26" t="s">
        <v>120</v>
      </c>
      <c r="J23" s="41">
        <v>39.8396226415094</v>
      </c>
      <c r="K23" s="41">
        <f t="shared" ref="K23:K24" si="3">F23*H23*J23</f>
        <v>800.776415094339</v>
      </c>
      <c r="L23" s="26" t="s">
        <v>166</v>
      </c>
      <c r="M23" s="7"/>
      <c r="N23" s="20">
        <v>16</v>
      </c>
      <c r="O23" s="21" t="s">
        <v>156</v>
      </c>
      <c r="P23" s="26" t="s">
        <v>157</v>
      </c>
      <c r="Q23" s="26" t="s">
        <v>133</v>
      </c>
      <c r="R23" s="26" t="s">
        <v>158</v>
      </c>
      <c r="S23" s="26">
        <v>0</v>
      </c>
      <c r="T23" s="26" t="s">
        <v>135</v>
      </c>
      <c r="U23" s="26">
        <v>0</v>
      </c>
      <c r="V23" s="26" t="s">
        <v>120</v>
      </c>
      <c r="W23" s="30">
        <v>60.377358490566</v>
      </c>
      <c r="X23" s="30">
        <f t="shared" ref="X23:X28" si="4">S23*U23*W23</f>
        <v>0</v>
      </c>
      <c r="Y23" s="31">
        <f>X23-K21</f>
        <v>-2329.35849056604</v>
      </c>
      <c r="Z23" s="32" t="s">
        <v>90</v>
      </c>
      <c r="AA23" s="32" t="s">
        <v>143</v>
      </c>
      <c r="AB23" s="32"/>
      <c r="AC23" s="7"/>
      <c r="AD23" s="20">
        <v>16</v>
      </c>
      <c r="AE23" s="21" t="s">
        <v>167</v>
      </c>
      <c r="AF23" s="26" t="s">
        <v>137</v>
      </c>
      <c r="AG23" s="26" t="s">
        <v>138</v>
      </c>
      <c r="AH23" s="26" t="s">
        <v>139</v>
      </c>
      <c r="AI23" s="26">
        <v>15.46</v>
      </c>
      <c r="AJ23" s="26" t="s">
        <v>135</v>
      </c>
      <c r="AK23" s="26">
        <v>1</v>
      </c>
      <c r="AL23" s="26" t="s">
        <v>120</v>
      </c>
      <c r="AM23" s="30">
        <v>235.849056603774</v>
      </c>
      <c r="AN23" s="30">
        <f t="shared" si="0"/>
        <v>3646.22641509435</v>
      </c>
      <c r="AO23" s="31">
        <f>AN23-Y30</f>
        <v>0</v>
      </c>
      <c r="AP23" s="21"/>
      <c r="AQ23" s="21"/>
      <c r="AR23" s="21"/>
    </row>
    <row r="24" ht="28" spans="1:44">
      <c r="A24" s="20">
        <v>17</v>
      </c>
      <c r="B24" s="21" t="s">
        <v>160</v>
      </c>
      <c r="C24" s="26" t="s">
        <v>147</v>
      </c>
      <c r="D24" s="26" t="s">
        <v>138</v>
      </c>
      <c r="E24" s="26" t="s">
        <v>148</v>
      </c>
      <c r="F24" s="26">
        <v>5.2</v>
      </c>
      <c r="G24" s="26" t="s">
        <v>135</v>
      </c>
      <c r="H24" s="26">
        <v>1</v>
      </c>
      <c r="I24" s="26" t="s">
        <v>120</v>
      </c>
      <c r="J24" s="41">
        <v>295</v>
      </c>
      <c r="K24" s="41">
        <f t="shared" si="3"/>
        <v>1534</v>
      </c>
      <c r="L24" s="26" t="s">
        <v>168</v>
      </c>
      <c r="M24" s="7"/>
      <c r="N24" s="20">
        <v>17</v>
      </c>
      <c r="O24" s="21" t="s">
        <v>144</v>
      </c>
      <c r="P24" s="26" t="s">
        <v>145</v>
      </c>
      <c r="Q24" s="26" t="s">
        <v>133</v>
      </c>
      <c r="R24" s="26" t="s">
        <v>146</v>
      </c>
      <c r="S24" s="38">
        <v>5</v>
      </c>
      <c r="T24" s="38" t="s">
        <v>135</v>
      </c>
      <c r="U24" s="38">
        <v>1</v>
      </c>
      <c r="V24" s="38" t="s">
        <v>120</v>
      </c>
      <c r="W24" s="39">
        <v>80</v>
      </c>
      <c r="X24" s="39">
        <f t="shared" si="4"/>
        <v>400</v>
      </c>
      <c r="Y24" s="42">
        <f>X24-K22</f>
        <v>-240</v>
      </c>
      <c r="Z24" s="43" t="s">
        <v>92</v>
      </c>
      <c r="AA24" s="44" t="s">
        <v>143</v>
      </c>
      <c r="AB24" s="43"/>
      <c r="AC24" s="7"/>
      <c r="AD24" s="20">
        <v>17</v>
      </c>
      <c r="AE24" s="21" t="s">
        <v>169</v>
      </c>
      <c r="AF24" s="26" t="s">
        <v>170</v>
      </c>
      <c r="AG24" s="26" t="s">
        <v>138</v>
      </c>
      <c r="AH24" s="45" t="s">
        <v>171</v>
      </c>
      <c r="AI24" s="26">
        <v>16.21</v>
      </c>
      <c r="AJ24" s="26" t="s">
        <v>135</v>
      </c>
      <c r="AK24" s="26">
        <v>1</v>
      </c>
      <c r="AL24" s="38" t="s">
        <v>120</v>
      </c>
      <c r="AM24" s="30">
        <v>187</v>
      </c>
      <c r="AN24" s="30">
        <f t="shared" si="0"/>
        <v>3031.27</v>
      </c>
      <c r="AO24" s="30">
        <f>AN24-X33</f>
        <v>0</v>
      </c>
      <c r="AP24" s="21"/>
      <c r="AQ24" s="21"/>
      <c r="AR24" s="21"/>
    </row>
    <row r="25" spans="1:44">
      <c r="A25" s="20">
        <v>18</v>
      </c>
      <c r="B25" s="21" t="s">
        <v>165</v>
      </c>
      <c r="C25" s="26" t="s">
        <v>157</v>
      </c>
      <c r="D25" s="26" t="s">
        <v>133</v>
      </c>
      <c r="E25" s="26" t="s">
        <v>158</v>
      </c>
      <c r="F25" s="26">
        <v>5.2</v>
      </c>
      <c r="G25" s="26" t="s">
        <v>135</v>
      </c>
      <c r="H25" s="26">
        <v>1</v>
      </c>
      <c r="I25" s="26" t="s">
        <v>120</v>
      </c>
      <c r="J25" s="41">
        <v>60.377358490566</v>
      </c>
      <c r="K25" s="41">
        <f t="shared" si="1"/>
        <v>313.962264150943</v>
      </c>
      <c r="L25" s="26" t="s">
        <v>172</v>
      </c>
      <c r="M25" s="7"/>
      <c r="N25" s="20">
        <v>18</v>
      </c>
      <c r="O25" s="21" t="s">
        <v>151</v>
      </c>
      <c r="P25" s="26" t="s">
        <v>152</v>
      </c>
      <c r="Q25" s="26" t="s">
        <v>153</v>
      </c>
      <c r="R25" s="26" t="s">
        <v>154</v>
      </c>
      <c r="S25" s="38">
        <v>9.42</v>
      </c>
      <c r="T25" s="38" t="s">
        <v>155</v>
      </c>
      <c r="U25" s="38">
        <v>1</v>
      </c>
      <c r="V25" s="38" t="s">
        <v>120</v>
      </c>
      <c r="W25" s="39">
        <v>39.8396226415094</v>
      </c>
      <c r="X25" s="39">
        <f t="shared" si="4"/>
        <v>375.289245283019</v>
      </c>
      <c r="Y25" s="42">
        <f>X25-K23</f>
        <v>-425.48716981132</v>
      </c>
      <c r="Z25" s="43" t="s">
        <v>92</v>
      </c>
      <c r="AA25" s="44" t="s">
        <v>143</v>
      </c>
      <c r="AB25" s="43" t="s">
        <v>173</v>
      </c>
      <c r="AC25" s="7"/>
      <c r="AD25" s="20">
        <v>18</v>
      </c>
      <c r="AE25" s="21" t="s">
        <v>174</v>
      </c>
      <c r="AF25" s="26" t="s">
        <v>137</v>
      </c>
      <c r="AG25" s="26" t="s">
        <v>138</v>
      </c>
      <c r="AH25" s="26" t="s">
        <v>139</v>
      </c>
      <c r="AI25" s="26">
        <v>9.28</v>
      </c>
      <c r="AJ25" s="26" t="s">
        <v>135</v>
      </c>
      <c r="AK25" s="26">
        <v>1</v>
      </c>
      <c r="AL25" s="26" t="s">
        <v>120</v>
      </c>
      <c r="AM25" s="30">
        <v>235.849056603774</v>
      </c>
      <c r="AN25" s="30">
        <f t="shared" si="0"/>
        <v>2188.67924528302</v>
      </c>
      <c r="AO25" s="30">
        <f>AN25-X35</f>
        <v>0</v>
      </c>
      <c r="AP25" s="21"/>
      <c r="AQ25" s="21"/>
      <c r="AR25" s="21"/>
    </row>
    <row r="26" spans="1:44">
      <c r="A26" s="20">
        <v>19</v>
      </c>
      <c r="B26" s="21" t="s">
        <v>175</v>
      </c>
      <c r="C26" s="26" t="s">
        <v>147</v>
      </c>
      <c r="D26" s="26" t="s">
        <v>138</v>
      </c>
      <c r="E26" s="26" t="s">
        <v>148</v>
      </c>
      <c r="F26" s="26">
        <v>33.7</v>
      </c>
      <c r="G26" s="26" t="s">
        <v>135</v>
      </c>
      <c r="H26" s="26">
        <v>1</v>
      </c>
      <c r="I26" s="26" t="s">
        <v>120</v>
      </c>
      <c r="J26" s="41">
        <v>295</v>
      </c>
      <c r="K26" s="41">
        <f t="shared" si="1"/>
        <v>9941.5</v>
      </c>
      <c r="L26" s="26" t="s">
        <v>176</v>
      </c>
      <c r="M26" s="7"/>
      <c r="N26" s="20">
        <v>19</v>
      </c>
      <c r="O26" s="21" t="s">
        <v>160</v>
      </c>
      <c r="P26" s="26" t="s">
        <v>147</v>
      </c>
      <c r="Q26" s="26" t="s">
        <v>138</v>
      </c>
      <c r="R26" s="26" t="s">
        <v>148</v>
      </c>
      <c r="S26" s="38">
        <v>0</v>
      </c>
      <c r="T26" s="38" t="s">
        <v>135</v>
      </c>
      <c r="U26" s="38">
        <v>1</v>
      </c>
      <c r="V26" s="38" t="s">
        <v>120</v>
      </c>
      <c r="W26" s="46">
        <v>295</v>
      </c>
      <c r="X26" s="46">
        <f t="shared" si="4"/>
        <v>0</v>
      </c>
      <c r="Y26" s="47">
        <f>X26-K24</f>
        <v>-1534</v>
      </c>
      <c r="Z26" s="44" t="s">
        <v>90</v>
      </c>
      <c r="AA26" s="44" t="s">
        <v>143</v>
      </c>
      <c r="AB26" s="44"/>
      <c r="AC26" s="7"/>
      <c r="AD26" s="20">
        <v>19</v>
      </c>
      <c r="AE26" s="21" t="s">
        <v>177</v>
      </c>
      <c r="AF26" s="26" t="s">
        <v>145</v>
      </c>
      <c r="AG26" s="26" t="s">
        <v>133</v>
      </c>
      <c r="AH26" s="26" t="s">
        <v>146</v>
      </c>
      <c r="AI26" s="26">
        <v>1.49</v>
      </c>
      <c r="AJ26" s="26" t="s">
        <v>135</v>
      </c>
      <c r="AK26" s="26">
        <v>1</v>
      </c>
      <c r="AL26" s="26" t="s">
        <v>120</v>
      </c>
      <c r="AM26" s="30">
        <v>80</v>
      </c>
      <c r="AN26" s="30">
        <f t="shared" si="0"/>
        <v>119.2</v>
      </c>
      <c r="AO26" s="30">
        <f>AN26-X36</f>
        <v>0</v>
      </c>
      <c r="AP26" s="21"/>
      <c r="AQ26" s="21"/>
      <c r="AR26" s="21"/>
    </row>
    <row r="27" ht="36" spans="1:44">
      <c r="A27" s="20">
        <v>20</v>
      </c>
      <c r="B27" s="21" t="s">
        <v>178</v>
      </c>
      <c r="C27" s="26" t="s">
        <v>157</v>
      </c>
      <c r="D27" s="26" t="s">
        <v>133</v>
      </c>
      <c r="E27" s="26" t="s">
        <v>158</v>
      </c>
      <c r="F27" s="26">
        <v>33.7</v>
      </c>
      <c r="G27" s="26" t="s">
        <v>135</v>
      </c>
      <c r="H27" s="26">
        <v>1</v>
      </c>
      <c r="I27" s="26" t="s">
        <v>120</v>
      </c>
      <c r="J27" s="41">
        <v>60.377358490566</v>
      </c>
      <c r="K27" s="41">
        <f t="shared" si="1"/>
        <v>2034.71698113207</v>
      </c>
      <c r="L27" s="26" t="s">
        <v>176</v>
      </c>
      <c r="M27" s="7"/>
      <c r="N27" s="20">
        <v>20</v>
      </c>
      <c r="O27" s="21" t="s">
        <v>160</v>
      </c>
      <c r="P27" s="26" t="s">
        <v>161</v>
      </c>
      <c r="Q27" s="26" t="s">
        <v>138</v>
      </c>
      <c r="R27" s="26" t="s">
        <v>162</v>
      </c>
      <c r="S27" s="26">
        <v>10.56</v>
      </c>
      <c r="T27" s="26" t="s">
        <v>135</v>
      </c>
      <c r="U27" s="26">
        <v>1</v>
      </c>
      <c r="V27" s="38" t="s">
        <v>120</v>
      </c>
      <c r="W27" s="30">
        <v>240</v>
      </c>
      <c r="X27" s="30">
        <f t="shared" si="4"/>
        <v>2534.4</v>
      </c>
      <c r="Y27" s="31">
        <f>X27-0</f>
        <v>2534.4</v>
      </c>
      <c r="Z27" s="32" t="s">
        <v>89</v>
      </c>
      <c r="AA27" s="32" t="s">
        <v>143</v>
      </c>
      <c r="AB27" s="33" t="s">
        <v>179</v>
      </c>
      <c r="AC27" s="7"/>
      <c r="AD27" s="20">
        <v>20</v>
      </c>
      <c r="AE27" s="21" t="s">
        <v>180</v>
      </c>
      <c r="AF27" s="26" t="s">
        <v>181</v>
      </c>
      <c r="AG27" s="26" t="s">
        <v>182</v>
      </c>
      <c r="AH27" s="26" t="s">
        <v>183</v>
      </c>
      <c r="AI27" s="26">
        <v>1.8</v>
      </c>
      <c r="AJ27" s="26" t="s">
        <v>184</v>
      </c>
      <c r="AK27" s="26">
        <v>1</v>
      </c>
      <c r="AL27" s="26" t="s">
        <v>120</v>
      </c>
      <c r="AM27" s="30">
        <v>139.62</v>
      </c>
      <c r="AN27" s="30">
        <f t="shared" si="0"/>
        <v>251.316</v>
      </c>
      <c r="AO27" s="30">
        <f>AN27-X37</f>
        <v>0</v>
      </c>
      <c r="AP27" s="21"/>
      <c r="AQ27" s="21"/>
      <c r="AR27" s="21"/>
    </row>
    <row r="28" ht="36" spans="1:44">
      <c r="A28" s="20">
        <v>21</v>
      </c>
      <c r="B28" s="21" t="s">
        <v>185</v>
      </c>
      <c r="C28" s="26" t="s">
        <v>157</v>
      </c>
      <c r="D28" s="26" t="s">
        <v>133</v>
      </c>
      <c r="E28" s="26" t="s">
        <v>158</v>
      </c>
      <c r="F28" s="26">
        <v>8</v>
      </c>
      <c r="G28" s="26" t="s">
        <v>135</v>
      </c>
      <c r="H28" s="26">
        <v>1</v>
      </c>
      <c r="I28" s="26" t="s">
        <v>120</v>
      </c>
      <c r="J28" s="41">
        <v>60.377358490566</v>
      </c>
      <c r="K28" s="41">
        <f t="shared" si="1"/>
        <v>483.018867924528</v>
      </c>
      <c r="L28" s="26" t="s">
        <v>186</v>
      </c>
      <c r="M28" s="7"/>
      <c r="N28" s="20">
        <v>21</v>
      </c>
      <c r="O28" s="21" t="s">
        <v>165</v>
      </c>
      <c r="P28" s="26" t="s">
        <v>157</v>
      </c>
      <c r="Q28" s="26" t="s">
        <v>133</v>
      </c>
      <c r="R28" s="26" t="s">
        <v>158</v>
      </c>
      <c r="S28" s="26">
        <v>10.56</v>
      </c>
      <c r="T28" s="26" t="s">
        <v>135</v>
      </c>
      <c r="U28" s="26">
        <v>1</v>
      </c>
      <c r="V28" s="26" t="s">
        <v>120</v>
      </c>
      <c r="W28" s="30">
        <v>60.377358490566</v>
      </c>
      <c r="X28" s="30">
        <f t="shared" si="4"/>
        <v>637.584905660377</v>
      </c>
      <c r="Y28" s="31">
        <f>X28-K25</f>
        <v>323.622641509434</v>
      </c>
      <c r="Z28" s="32" t="s">
        <v>91</v>
      </c>
      <c r="AA28" s="32" t="s">
        <v>143</v>
      </c>
      <c r="AB28" s="33" t="s">
        <v>179</v>
      </c>
      <c r="AC28" s="7"/>
      <c r="AD28" s="20">
        <v>21</v>
      </c>
      <c r="AE28" s="21" t="s">
        <v>187</v>
      </c>
      <c r="AF28" s="26" t="s">
        <v>137</v>
      </c>
      <c r="AG28" s="26" t="s">
        <v>138</v>
      </c>
      <c r="AH28" s="26" t="s">
        <v>139</v>
      </c>
      <c r="AI28" s="26">
        <v>24.26</v>
      </c>
      <c r="AJ28" s="26" t="s">
        <v>135</v>
      </c>
      <c r="AK28" s="26">
        <v>1</v>
      </c>
      <c r="AL28" s="38" t="s">
        <v>120</v>
      </c>
      <c r="AM28" s="30">
        <v>235.849056603774</v>
      </c>
      <c r="AN28" s="30">
        <f t="shared" si="0"/>
        <v>5721.69811320756</v>
      </c>
      <c r="AO28" s="30">
        <f>AN28-X39</f>
        <v>0</v>
      </c>
      <c r="AP28" s="21"/>
      <c r="AQ28" s="21"/>
      <c r="AR28" s="21"/>
    </row>
    <row r="29" spans="1:44">
      <c r="A29" s="20">
        <v>22</v>
      </c>
      <c r="B29" s="21" t="s">
        <v>169</v>
      </c>
      <c r="C29" s="26" t="s">
        <v>147</v>
      </c>
      <c r="D29" s="26" t="s">
        <v>138</v>
      </c>
      <c r="E29" s="26" t="s">
        <v>148</v>
      </c>
      <c r="F29" s="26">
        <v>8</v>
      </c>
      <c r="G29" s="26" t="s">
        <v>135</v>
      </c>
      <c r="H29" s="26">
        <v>1</v>
      </c>
      <c r="I29" s="26" t="s">
        <v>120</v>
      </c>
      <c r="J29" s="41">
        <v>295</v>
      </c>
      <c r="K29" s="41">
        <f t="shared" si="1"/>
        <v>2360</v>
      </c>
      <c r="L29" s="26" t="s">
        <v>188</v>
      </c>
      <c r="M29" s="7"/>
      <c r="N29" s="20">
        <v>22</v>
      </c>
      <c r="O29" s="21" t="s">
        <v>167</v>
      </c>
      <c r="P29" s="26" t="s">
        <v>147</v>
      </c>
      <c r="Q29" s="26" t="s">
        <v>138</v>
      </c>
      <c r="R29" s="26" t="s">
        <v>148</v>
      </c>
      <c r="S29" s="26">
        <v>0</v>
      </c>
      <c r="T29" s="26" t="s">
        <v>135</v>
      </c>
      <c r="U29" s="26">
        <v>1</v>
      </c>
      <c r="V29" s="26" t="s">
        <v>120</v>
      </c>
      <c r="W29" s="30">
        <v>295</v>
      </c>
      <c r="X29" s="30">
        <f t="shared" ref="X29:X30" si="5">S29*U29*W29</f>
        <v>0</v>
      </c>
      <c r="Y29" s="31">
        <f>X29-K26</f>
        <v>-9941.5</v>
      </c>
      <c r="Z29" s="32" t="s">
        <v>90</v>
      </c>
      <c r="AA29" s="32" t="s">
        <v>143</v>
      </c>
      <c r="AB29" s="32"/>
      <c r="AC29" s="7"/>
      <c r="AD29" s="20">
        <v>22</v>
      </c>
      <c r="AE29" s="21" t="s">
        <v>189</v>
      </c>
      <c r="AF29" s="26" t="s">
        <v>137</v>
      </c>
      <c r="AG29" s="26" t="s">
        <v>138</v>
      </c>
      <c r="AH29" s="26" t="s">
        <v>139</v>
      </c>
      <c r="AI29" s="26">
        <v>12.46</v>
      </c>
      <c r="AJ29" s="26" t="s">
        <v>135</v>
      </c>
      <c r="AK29" s="26">
        <v>1</v>
      </c>
      <c r="AL29" s="38" t="s">
        <v>120</v>
      </c>
      <c r="AM29" s="30">
        <v>235.849056603774</v>
      </c>
      <c r="AN29" s="30">
        <f t="shared" si="0"/>
        <v>2938.67924528302</v>
      </c>
      <c r="AO29" s="30">
        <f>AN29-X43</f>
        <v>0</v>
      </c>
      <c r="AP29" s="21"/>
      <c r="AQ29" s="21"/>
      <c r="AR29" s="21"/>
    </row>
    <row r="30" ht="36" spans="1:44">
      <c r="A30" s="20">
        <v>23</v>
      </c>
      <c r="B30" s="21" t="s">
        <v>190</v>
      </c>
      <c r="C30" s="26" t="s">
        <v>152</v>
      </c>
      <c r="D30" s="26" t="s">
        <v>153</v>
      </c>
      <c r="E30" s="26" t="s">
        <v>154</v>
      </c>
      <c r="F30" s="26">
        <v>10</v>
      </c>
      <c r="G30" s="26" t="s">
        <v>155</v>
      </c>
      <c r="H30" s="26">
        <v>1</v>
      </c>
      <c r="I30" s="26" t="s">
        <v>120</v>
      </c>
      <c r="J30" s="41">
        <v>39.8396226415094</v>
      </c>
      <c r="K30" s="41">
        <f t="shared" si="1"/>
        <v>398.396226415094</v>
      </c>
      <c r="L30" s="26" t="s">
        <v>191</v>
      </c>
      <c r="M30" s="7"/>
      <c r="N30" s="20">
        <v>23</v>
      </c>
      <c r="O30" s="21" t="s">
        <v>167</v>
      </c>
      <c r="P30" s="26" t="s">
        <v>137</v>
      </c>
      <c r="Q30" s="26" t="s">
        <v>138</v>
      </c>
      <c r="R30" s="26" t="s">
        <v>139</v>
      </c>
      <c r="S30" s="26">
        <v>15.46</v>
      </c>
      <c r="T30" s="26" t="s">
        <v>135</v>
      </c>
      <c r="U30" s="26">
        <v>1</v>
      </c>
      <c r="V30" s="26" t="s">
        <v>120</v>
      </c>
      <c r="W30" s="30">
        <v>235.849056603774</v>
      </c>
      <c r="X30" s="30">
        <f t="shared" si="5"/>
        <v>3646.22641509435</v>
      </c>
      <c r="Y30" s="31">
        <f>X30-0</f>
        <v>3646.22641509435</v>
      </c>
      <c r="Z30" s="32" t="s">
        <v>89</v>
      </c>
      <c r="AA30" s="32" t="s">
        <v>143</v>
      </c>
      <c r="AB30" s="33" t="s">
        <v>192</v>
      </c>
      <c r="AC30" s="7"/>
      <c r="AD30" s="20">
        <v>23</v>
      </c>
      <c r="AE30" s="21" t="s">
        <v>193</v>
      </c>
      <c r="AF30" s="26" t="s">
        <v>194</v>
      </c>
      <c r="AG30" s="26" t="s">
        <v>195</v>
      </c>
      <c r="AH30" s="26" t="s">
        <v>196</v>
      </c>
      <c r="AI30" s="26">
        <v>2.2</v>
      </c>
      <c r="AJ30" s="26" t="s">
        <v>184</v>
      </c>
      <c r="AK30" s="26">
        <v>1</v>
      </c>
      <c r="AL30" s="26" t="s">
        <v>120</v>
      </c>
      <c r="AM30" s="30">
        <v>750</v>
      </c>
      <c r="AN30" s="30">
        <f t="shared" si="0"/>
        <v>1650</v>
      </c>
      <c r="AO30" s="30">
        <f>AN30-X44</f>
        <v>0</v>
      </c>
      <c r="AP30" s="21"/>
      <c r="AQ30" s="21"/>
      <c r="AR30" s="21"/>
    </row>
    <row r="31" spans="1:44">
      <c r="A31" s="20">
        <v>24</v>
      </c>
      <c r="B31" s="21" t="s">
        <v>197</v>
      </c>
      <c r="C31" s="26" t="s">
        <v>145</v>
      </c>
      <c r="D31" s="26" t="s">
        <v>133</v>
      </c>
      <c r="E31" s="26" t="s">
        <v>146</v>
      </c>
      <c r="F31" s="26">
        <v>5</v>
      </c>
      <c r="G31" s="26" t="s">
        <v>135</v>
      </c>
      <c r="H31" s="26">
        <v>1</v>
      </c>
      <c r="I31" s="26" t="s">
        <v>120</v>
      </c>
      <c r="J31" s="41">
        <v>80</v>
      </c>
      <c r="K31" s="41">
        <f t="shared" si="1"/>
        <v>400</v>
      </c>
      <c r="L31" s="26" t="s">
        <v>163</v>
      </c>
      <c r="M31" s="7"/>
      <c r="N31" s="20">
        <v>24</v>
      </c>
      <c r="O31" s="21" t="s">
        <v>178</v>
      </c>
      <c r="P31" s="26" t="s">
        <v>157</v>
      </c>
      <c r="Q31" s="26" t="s">
        <v>133</v>
      </c>
      <c r="R31" s="26" t="s">
        <v>158</v>
      </c>
      <c r="S31" s="26">
        <v>0</v>
      </c>
      <c r="T31" s="26" t="s">
        <v>135</v>
      </c>
      <c r="U31" s="26">
        <v>1</v>
      </c>
      <c r="V31" s="26" t="s">
        <v>120</v>
      </c>
      <c r="W31" s="30">
        <v>60.377358490566</v>
      </c>
      <c r="X31" s="30">
        <f t="shared" ref="X31:X33" si="6">S31*U31*W31</f>
        <v>0</v>
      </c>
      <c r="Y31" s="31">
        <f>X31-K27</f>
        <v>-2034.71698113207</v>
      </c>
      <c r="Z31" s="32" t="s">
        <v>90</v>
      </c>
      <c r="AA31" s="32" t="s">
        <v>143</v>
      </c>
      <c r="AB31" s="32"/>
      <c r="AC31" s="7"/>
      <c r="AD31" s="20">
        <v>24</v>
      </c>
      <c r="AE31" s="21" t="s">
        <v>198</v>
      </c>
      <c r="AF31" s="26" t="s">
        <v>145</v>
      </c>
      <c r="AG31" s="26" t="s">
        <v>133</v>
      </c>
      <c r="AH31" s="26" t="s">
        <v>146</v>
      </c>
      <c r="AI31" s="26">
        <v>2.52</v>
      </c>
      <c r="AJ31" s="26" t="s">
        <v>135</v>
      </c>
      <c r="AK31" s="26">
        <v>1</v>
      </c>
      <c r="AL31" s="26" t="s">
        <v>120</v>
      </c>
      <c r="AM31" s="30">
        <v>80</v>
      </c>
      <c r="AN31" s="30">
        <f t="shared" si="0"/>
        <v>201.6</v>
      </c>
      <c r="AO31" s="30">
        <f>AN31-X45</f>
        <v>0</v>
      </c>
      <c r="AP31" s="21"/>
      <c r="AQ31" s="21"/>
      <c r="AR31" s="21"/>
    </row>
    <row r="32" spans="1:44">
      <c r="A32" s="20">
        <v>25</v>
      </c>
      <c r="B32" s="21" t="s">
        <v>199</v>
      </c>
      <c r="C32" s="26" t="s">
        <v>200</v>
      </c>
      <c r="D32" s="26" t="s">
        <v>182</v>
      </c>
      <c r="E32" s="26" t="s">
        <v>201</v>
      </c>
      <c r="F32" s="26">
        <v>4</v>
      </c>
      <c r="G32" s="26" t="s">
        <v>184</v>
      </c>
      <c r="H32" s="26">
        <v>1</v>
      </c>
      <c r="I32" s="26" t="s">
        <v>120</v>
      </c>
      <c r="J32" s="41">
        <v>100</v>
      </c>
      <c r="K32" s="41">
        <f t="shared" si="1"/>
        <v>400</v>
      </c>
      <c r="L32" s="26" t="s">
        <v>202</v>
      </c>
      <c r="M32" s="7"/>
      <c r="N32" s="20">
        <v>25</v>
      </c>
      <c r="O32" s="21" t="s">
        <v>169</v>
      </c>
      <c r="P32" s="26" t="s">
        <v>147</v>
      </c>
      <c r="Q32" s="26" t="s">
        <v>138</v>
      </c>
      <c r="R32" s="26" t="s">
        <v>148</v>
      </c>
      <c r="S32" s="26">
        <v>0</v>
      </c>
      <c r="T32" s="26" t="s">
        <v>135</v>
      </c>
      <c r="U32" s="26">
        <v>1</v>
      </c>
      <c r="V32" s="26" t="s">
        <v>120</v>
      </c>
      <c r="W32" s="30">
        <v>295</v>
      </c>
      <c r="X32" s="30">
        <f t="shared" si="6"/>
        <v>0</v>
      </c>
      <c r="Y32" s="31">
        <f>X32-K29</f>
        <v>-2360</v>
      </c>
      <c r="Z32" s="32" t="s">
        <v>90</v>
      </c>
      <c r="AA32" s="32" t="s">
        <v>143</v>
      </c>
      <c r="AB32" s="32"/>
      <c r="AC32" s="7"/>
      <c r="AD32" s="20">
        <v>25</v>
      </c>
      <c r="AE32" s="48" t="s">
        <v>203</v>
      </c>
      <c r="AF32" s="26" t="s">
        <v>181</v>
      </c>
      <c r="AG32" s="26" t="s">
        <v>182</v>
      </c>
      <c r="AH32" s="26" t="s">
        <v>183</v>
      </c>
      <c r="AI32" s="26">
        <v>3.26</v>
      </c>
      <c r="AJ32" s="26" t="s">
        <v>184</v>
      </c>
      <c r="AK32" s="26">
        <v>1</v>
      </c>
      <c r="AL32" s="26" t="s">
        <v>120</v>
      </c>
      <c r="AM32" s="30">
        <v>139.62</v>
      </c>
      <c r="AN32" s="30">
        <f t="shared" si="0"/>
        <v>455.1612</v>
      </c>
      <c r="AO32" s="30">
        <f>AN32-X48</f>
        <v>0</v>
      </c>
      <c r="AP32" s="21"/>
      <c r="AQ32" s="21"/>
      <c r="AR32" s="21"/>
    </row>
    <row r="33" ht="88" spans="1:44">
      <c r="A33" s="20">
        <v>26</v>
      </c>
      <c r="B33" s="21" t="s">
        <v>204</v>
      </c>
      <c r="C33" s="26" t="s">
        <v>147</v>
      </c>
      <c r="D33" s="26" t="s">
        <v>138</v>
      </c>
      <c r="E33" s="26" t="s">
        <v>148</v>
      </c>
      <c r="F33" s="26">
        <v>35</v>
      </c>
      <c r="G33" s="26" t="s">
        <v>135</v>
      </c>
      <c r="H33" s="26">
        <v>1</v>
      </c>
      <c r="I33" s="26" t="s">
        <v>120</v>
      </c>
      <c r="J33" s="41">
        <v>295</v>
      </c>
      <c r="K33" s="41">
        <f t="shared" si="1"/>
        <v>10325</v>
      </c>
      <c r="L33" s="26" t="s">
        <v>205</v>
      </c>
      <c r="M33" s="7"/>
      <c r="N33" s="20">
        <v>26</v>
      </c>
      <c r="O33" s="21" t="s">
        <v>169</v>
      </c>
      <c r="P33" s="26" t="s">
        <v>170</v>
      </c>
      <c r="Q33" s="26" t="s">
        <v>138</v>
      </c>
      <c r="R33" s="45" t="s">
        <v>171</v>
      </c>
      <c r="S33" s="26">
        <v>16.21</v>
      </c>
      <c r="T33" s="26" t="s">
        <v>135</v>
      </c>
      <c r="U33" s="26">
        <v>1</v>
      </c>
      <c r="V33" s="38" t="s">
        <v>120</v>
      </c>
      <c r="W33" s="30">
        <v>187</v>
      </c>
      <c r="X33" s="30">
        <f t="shared" si="6"/>
        <v>3031.27</v>
      </c>
      <c r="Y33" s="31">
        <f>X33-0</f>
        <v>3031.27</v>
      </c>
      <c r="Z33" s="32" t="s">
        <v>89</v>
      </c>
      <c r="AA33" s="32" t="s">
        <v>143</v>
      </c>
      <c r="AB33" s="33" t="s">
        <v>206</v>
      </c>
      <c r="AC33" s="7"/>
      <c r="AD33" s="20">
        <v>26</v>
      </c>
      <c r="AE33" s="21" t="s">
        <v>207</v>
      </c>
      <c r="AF33" s="26" t="s">
        <v>145</v>
      </c>
      <c r="AG33" s="26" t="s">
        <v>133</v>
      </c>
      <c r="AH33" s="26" t="s">
        <v>146</v>
      </c>
      <c r="AI33" s="26">
        <v>4.22</v>
      </c>
      <c r="AJ33" s="26" t="s">
        <v>135</v>
      </c>
      <c r="AK33" s="26">
        <v>1</v>
      </c>
      <c r="AL33" s="26" t="s">
        <v>120</v>
      </c>
      <c r="AM33" s="30">
        <v>80</v>
      </c>
      <c r="AN33" s="30">
        <f t="shared" si="0"/>
        <v>337.6</v>
      </c>
      <c r="AO33" s="30">
        <f>AN33-X49</f>
        <v>0</v>
      </c>
      <c r="AP33" s="21"/>
      <c r="AQ33" s="21"/>
      <c r="AR33" s="21"/>
    </row>
    <row r="34" spans="1:44">
      <c r="A34" s="20">
        <v>27</v>
      </c>
      <c r="B34" s="21" t="s">
        <v>208</v>
      </c>
      <c r="C34" s="26" t="s">
        <v>157</v>
      </c>
      <c r="D34" s="26" t="s">
        <v>133</v>
      </c>
      <c r="E34" s="26" t="s">
        <v>158</v>
      </c>
      <c r="F34" s="26">
        <v>35</v>
      </c>
      <c r="G34" s="26" t="s">
        <v>135</v>
      </c>
      <c r="H34" s="26">
        <v>1</v>
      </c>
      <c r="I34" s="26" t="s">
        <v>120</v>
      </c>
      <c r="J34" s="41">
        <v>60.377358490566</v>
      </c>
      <c r="K34" s="41">
        <f t="shared" si="1"/>
        <v>2113.20754716981</v>
      </c>
      <c r="L34" s="26" t="s">
        <v>209</v>
      </c>
      <c r="M34" s="7"/>
      <c r="N34" s="20">
        <v>27</v>
      </c>
      <c r="O34" s="21" t="s">
        <v>185</v>
      </c>
      <c r="P34" s="26" t="s">
        <v>157</v>
      </c>
      <c r="Q34" s="26" t="s">
        <v>133</v>
      </c>
      <c r="R34" s="26" t="s">
        <v>158</v>
      </c>
      <c r="S34" s="26">
        <v>0</v>
      </c>
      <c r="T34" s="26" t="s">
        <v>135</v>
      </c>
      <c r="U34" s="26">
        <v>1</v>
      </c>
      <c r="V34" s="26" t="s">
        <v>120</v>
      </c>
      <c r="W34" s="30">
        <v>60.377358490566</v>
      </c>
      <c r="X34" s="30">
        <f t="shared" ref="X34:X35" si="7">S34*U34*W34</f>
        <v>0</v>
      </c>
      <c r="Y34" s="31">
        <f>X34-K28</f>
        <v>-483.018867924528</v>
      </c>
      <c r="Z34" s="32" t="s">
        <v>90</v>
      </c>
      <c r="AA34" s="32" t="s">
        <v>143</v>
      </c>
      <c r="AB34" s="32"/>
      <c r="AC34" s="7"/>
      <c r="AD34" s="20">
        <v>27</v>
      </c>
      <c r="AE34" s="21" t="s">
        <v>210</v>
      </c>
      <c r="AF34" s="26" t="s">
        <v>152</v>
      </c>
      <c r="AG34" s="26" t="s">
        <v>153</v>
      </c>
      <c r="AH34" s="26" t="s">
        <v>154</v>
      </c>
      <c r="AI34" s="26">
        <v>3.05</v>
      </c>
      <c r="AJ34" s="26" t="s">
        <v>155</v>
      </c>
      <c r="AK34" s="26">
        <v>1</v>
      </c>
      <c r="AL34" s="26" t="s">
        <v>120</v>
      </c>
      <c r="AM34" s="30">
        <v>39.8396226415094</v>
      </c>
      <c r="AN34" s="30">
        <f t="shared" si="0"/>
        <v>121.510849056604</v>
      </c>
      <c r="AO34" s="30">
        <f>AN34-X50</f>
        <v>0</v>
      </c>
      <c r="AP34" s="21"/>
      <c r="AQ34" s="21"/>
      <c r="AR34" s="21"/>
    </row>
    <row r="35" ht="36" spans="1:44">
      <c r="A35" s="20">
        <v>28</v>
      </c>
      <c r="B35" s="21" t="s">
        <v>211</v>
      </c>
      <c r="C35" s="49" t="s">
        <v>152</v>
      </c>
      <c r="D35" s="50" t="s">
        <v>153</v>
      </c>
      <c r="E35" s="50" t="s">
        <v>154</v>
      </c>
      <c r="F35" s="50">
        <v>14.6</v>
      </c>
      <c r="G35" s="50" t="s">
        <v>155</v>
      </c>
      <c r="H35" s="50">
        <v>1</v>
      </c>
      <c r="I35" s="50" t="s">
        <v>120</v>
      </c>
      <c r="J35" s="41">
        <v>39.8396226415094</v>
      </c>
      <c r="K35" s="41">
        <f t="shared" si="1"/>
        <v>581.658490566037</v>
      </c>
      <c r="L35" s="26" t="s">
        <v>212</v>
      </c>
      <c r="M35" s="7"/>
      <c r="N35" s="20">
        <v>28</v>
      </c>
      <c r="O35" s="21" t="s">
        <v>174</v>
      </c>
      <c r="P35" s="26" t="s">
        <v>137</v>
      </c>
      <c r="Q35" s="26" t="s">
        <v>138</v>
      </c>
      <c r="R35" s="26" t="s">
        <v>139</v>
      </c>
      <c r="S35" s="26">
        <v>9.28</v>
      </c>
      <c r="T35" s="26" t="s">
        <v>135</v>
      </c>
      <c r="U35" s="26">
        <v>1</v>
      </c>
      <c r="V35" s="26" t="s">
        <v>120</v>
      </c>
      <c r="W35" s="30">
        <v>235.849056603774</v>
      </c>
      <c r="X35" s="30">
        <f t="shared" si="7"/>
        <v>2188.67924528302</v>
      </c>
      <c r="Y35" s="31">
        <f>X35-0</f>
        <v>2188.67924528302</v>
      </c>
      <c r="Z35" s="32" t="s">
        <v>89</v>
      </c>
      <c r="AA35" s="32" t="s">
        <v>143</v>
      </c>
      <c r="AB35" s="33" t="s">
        <v>213</v>
      </c>
      <c r="AC35" s="7"/>
      <c r="AD35" s="20">
        <v>28</v>
      </c>
      <c r="AE35" s="21" t="s">
        <v>214</v>
      </c>
      <c r="AF35" s="26" t="s">
        <v>170</v>
      </c>
      <c r="AG35" s="26" t="s">
        <v>138</v>
      </c>
      <c r="AH35" s="26" t="s">
        <v>171</v>
      </c>
      <c r="AI35" s="26">
        <v>1.42</v>
      </c>
      <c r="AJ35" s="26" t="s">
        <v>135</v>
      </c>
      <c r="AK35" s="26">
        <v>1</v>
      </c>
      <c r="AL35" s="26" t="s">
        <v>120</v>
      </c>
      <c r="AM35" s="30">
        <v>187</v>
      </c>
      <c r="AN35" s="30">
        <f t="shared" si="0"/>
        <v>265.54</v>
      </c>
      <c r="AO35" s="30">
        <f>AN35-X51</f>
        <v>0</v>
      </c>
      <c r="AP35" s="21"/>
      <c r="AQ35" s="21"/>
      <c r="AR35" s="21"/>
    </row>
    <row r="36" ht="28" spans="1:44">
      <c r="A36" s="20">
        <v>29</v>
      </c>
      <c r="B36" s="21" t="s">
        <v>189</v>
      </c>
      <c r="C36" s="26" t="s">
        <v>147</v>
      </c>
      <c r="D36" s="26" t="s">
        <v>138</v>
      </c>
      <c r="E36" s="26" t="s">
        <v>148</v>
      </c>
      <c r="F36" s="26">
        <v>10</v>
      </c>
      <c r="G36" s="26" t="s">
        <v>135</v>
      </c>
      <c r="H36" s="26">
        <v>1</v>
      </c>
      <c r="I36" s="26" t="s">
        <v>120</v>
      </c>
      <c r="J36" s="41">
        <v>295</v>
      </c>
      <c r="K36" s="41">
        <f t="shared" ref="K36:K42" si="8">F36*H36*J36</f>
        <v>2950</v>
      </c>
      <c r="L36" s="26" t="s">
        <v>215</v>
      </c>
      <c r="M36" s="7"/>
      <c r="N36" s="20">
        <v>29</v>
      </c>
      <c r="O36" s="21" t="s">
        <v>177</v>
      </c>
      <c r="P36" s="26" t="s">
        <v>145</v>
      </c>
      <c r="Q36" s="26" t="s">
        <v>133</v>
      </c>
      <c r="R36" s="26" t="s">
        <v>146</v>
      </c>
      <c r="S36" s="26">
        <v>1.49</v>
      </c>
      <c r="T36" s="26" t="s">
        <v>135</v>
      </c>
      <c r="U36" s="26">
        <v>1</v>
      </c>
      <c r="V36" s="26" t="s">
        <v>120</v>
      </c>
      <c r="W36" s="30">
        <v>80</v>
      </c>
      <c r="X36" s="30">
        <f t="shared" ref="X36:X39" si="9">S36*U36*W36</f>
        <v>119.2</v>
      </c>
      <c r="Y36" s="31">
        <f>X36-K31</f>
        <v>-280.8</v>
      </c>
      <c r="Z36" s="32" t="s">
        <v>92</v>
      </c>
      <c r="AA36" s="32" t="s">
        <v>143</v>
      </c>
      <c r="AB36" s="32" t="s">
        <v>216</v>
      </c>
      <c r="AC36" s="7"/>
      <c r="AD36" s="20">
        <v>29</v>
      </c>
      <c r="AE36" s="21" t="s">
        <v>217</v>
      </c>
      <c r="AF36" s="26" t="s">
        <v>137</v>
      </c>
      <c r="AG36" s="26" t="s">
        <v>138</v>
      </c>
      <c r="AH36" s="40" t="s">
        <v>139</v>
      </c>
      <c r="AI36" s="26">
        <v>9.9</v>
      </c>
      <c r="AJ36" s="26" t="s">
        <v>135</v>
      </c>
      <c r="AK36" s="26">
        <v>1</v>
      </c>
      <c r="AL36" s="38" t="s">
        <v>120</v>
      </c>
      <c r="AM36" s="30">
        <v>235.849056603774</v>
      </c>
      <c r="AN36" s="30">
        <f t="shared" si="0"/>
        <v>2334.90566037736</v>
      </c>
      <c r="AO36" s="30">
        <f>AN36-X54</f>
        <v>0</v>
      </c>
      <c r="AP36" s="21"/>
      <c r="AQ36" s="21"/>
      <c r="AR36" s="21"/>
    </row>
    <row r="37" spans="1:44">
      <c r="A37" s="20">
        <v>30</v>
      </c>
      <c r="B37" s="21" t="s">
        <v>218</v>
      </c>
      <c r="C37" s="26" t="s">
        <v>157</v>
      </c>
      <c r="D37" s="26" t="s">
        <v>133</v>
      </c>
      <c r="E37" s="26" t="s">
        <v>158</v>
      </c>
      <c r="F37" s="26">
        <v>7</v>
      </c>
      <c r="G37" s="26" t="s">
        <v>135</v>
      </c>
      <c r="H37" s="26">
        <v>1</v>
      </c>
      <c r="I37" s="26" t="s">
        <v>120</v>
      </c>
      <c r="J37" s="41">
        <v>60.377358490566</v>
      </c>
      <c r="K37" s="41">
        <f t="shared" si="8"/>
        <v>422.641509433962</v>
      </c>
      <c r="L37" s="26" t="s">
        <v>191</v>
      </c>
      <c r="M37" s="7"/>
      <c r="N37" s="20">
        <v>30</v>
      </c>
      <c r="O37" s="21" t="s">
        <v>180</v>
      </c>
      <c r="P37" s="26" t="s">
        <v>181</v>
      </c>
      <c r="Q37" s="26" t="s">
        <v>182</v>
      </c>
      <c r="R37" s="26" t="s">
        <v>183</v>
      </c>
      <c r="S37" s="26">
        <v>1.8</v>
      </c>
      <c r="T37" s="26" t="s">
        <v>184</v>
      </c>
      <c r="U37" s="26">
        <v>1</v>
      </c>
      <c r="V37" s="26" t="s">
        <v>120</v>
      </c>
      <c r="W37" s="30">
        <v>139.62</v>
      </c>
      <c r="X37" s="30">
        <f t="shared" si="9"/>
        <v>251.316</v>
      </c>
      <c r="Y37" s="31">
        <f>X37-K32</f>
        <v>-148.684</v>
      </c>
      <c r="Z37" s="32" t="s">
        <v>92</v>
      </c>
      <c r="AA37" s="32" t="s">
        <v>143</v>
      </c>
      <c r="AB37" s="32" t="s">
        <v>219</v>
      </c>
      <c r="AC37" s="7"/>
      <c r="AD37" s="20">
        <v>30</v>
      </c>
      <c r="AE37" s="21" t="s">
        <v>220</v>
      </c>
      <c r="AF37" s="26" t="s">
        <v>221</v>
      </c>
      <c r="AG37" s="26" t="s">
        <v>195</v>
      </c>
      <c r="AH37" s="26" t="s">
        <v>222</v>
      </c>
      <c r="AI37" s="26">
        <v>1.2</v>
      </c>
      <c r="AJ37" s="26" t="s">
        <v>184</v>
      </c>
      <c r="AK37" s="26">
        <v>1</v>
      </c>
      <c r="AL37" s="26" t="s">
        <v>120</v>
      </c>
      <c r="AM37" s="30">
        <v>750</v>
      </c>
      <c r="AN37" s="30">
        <f t="shared" si="0"/>
        <v>900</v>
      </c>
      <c r="AO37" s="30">
        <f>AN37-X59</f>
        <v>0</v>
      </c>
      <c r="AP37" s="21"/>
      <c r="AQ37" s="21"/>
      <c r="AR37" s="21"/>
    </row>
    <row r="38" spans="1:44">
      <c r="A38" s="20">
        <v>31</v>
      </c>
      <c r="B38" s="21" t="s">
        <v>193</v>
      </c>
      <c r="C38" s="26" t="s">
        <v>194</v>
      </c>
      <c r="D38" s="26" t="s">
        <v>195</v>
      </c>
      <c r="E38" s="26" t="s">
        <v>196</v>
      </c>
      <c r="F38" s="26">
        <v>2.2</v>
      </c>
      <c r="G38" s="26" t="s">
        <v>184</v>
      </c>
      <c r="H38" s="26">
        <v>1</v>
      </c>
      <c r="I38" s="26" t="s">
        <v>120</v>
      </c>
      <c r="J38" s="41">
        <v>750</v>
      </c>
      <c r="K38" s="41">
        <f t="shared" si="8"/>
        <v>1650</v>
      </c>
      <c r="L38" s="26" t="s">
        <v>223</v>
      </c>
      <c r="M38" s="7"/>
      <c r="N38" s="20">
        <v>31</v>
      </c>
      <c r="O38" s="21" t="s">
        <v>187</v>
      </c>
      <c r="P38" s="26" t="s">
        <v>147</v>
      </c>
      <c r="Q38" s="26" t="s">
        <v>138</v>
      </c>
      <c r="R38" s="26" t="s">
        <v>148</v>
      </c>
      <c r="S38" s="26">
        <v>0</v>
      </c>
      <c r="T38" s="26" t="s">
        <v>135</v>
      </c>
      <c r="U38" s="26">
        <v>1</v>
      </c>
      <c r="V38" s="26" t="s">
        <v>120</v>
      </c>
      <c r="W38" s="30">
        <v>295</v>
      </c>
      <c r="X38" s="30">
        <f t="shared" si="9"/>
        <v>0</v>
      </c>
      <c r="Y38" s="31">
        <f>X38-K33</f>
        <v>-10325</v>
      </c>
      <c r="Z38" s="32" t="s">
        <v>90</v>
      </c>
      <c r="AA38" s="32" t="s">
        <v>143</v>
      </c>
      <c r="AB38" s="32"/>
      <c r="AC38" s="7"/>
      <c r="AD38" s="20">
        <v>31</v>
      </c>
      <c r="AE38" s="21" t="s">
        <v>224</v>
      </c>
      <c r="AF38" s="26" t="s">
        <v>137</v>
      </c>
      <c r="AG38" s="26" t="s">
        <v>138</v>
      </c>
      <c r="AH38" s="26" t="s">
        <v>139</v>
      </c>
      <c r="AI38" s="26">
        <v>11.04</v>
      </c>
      <c r="AJ38" s="26" t="s">
        <v>135</v>
      </c>
      <c r="AK38" s="26">
        <v>1</v>
      </c>
      <c r="AL38" s="38" t="s">
        <v>120</v>
      </c>
      <c r="AM38" s="30">
        <v>235.849056603774</v>
      </c>
      <c r="AN38" s="30">
        <f t="shared" si="0"/>
        <v>2603.77358490566</v>
      </c>
      <c r="AO38" s="30">
        <f>AN38-X62</f>
        <v>0</v>
      </c>
      <c r="AP38" s="21"/>
      <c r="AQ38" s="21"/>
      <c r="AR38" s="21"/>
    </row>
    <row r="39" ht="36" spans="1:44">
      <c r="A39" s="20">
        <v>32</v>
      </c>
      <c r="B39" s="21" t="s">
        <v>225</v>
      </c>
      <c r="C39" s="26" t="s">
        <v>147</v>
      </c>
      <c r="D39" s="26" t="s">
        <v>138</v>
      </c>
      <c r="E39" s="26" t="s">
        <v>148</v>
      </c>
      <c r="F39" s="26">
        <v>10.56</v>
      </c>
      <c r="G39" s="26" t="s">
        <v>135</v>
      </c>
      <c r="H39" s="26">
        <v>1</v>
      </c>
      <c r="I39" s="26" t="s">
        <v>120</v>
      </c>
      <c r="J39" s="41">
        <v>295</v>
      </c>
      <c r="K39" s="41">
        <f t="shared" si="8"/>
        <v>3115.2</v>
      </c>
      <c r="L39" s="26" t="s">
        <v>226</v>
      </c>
      <c r="M39" s="7"/>
      <c r="N39" s="20">
        <v>32</v>
      </c>
      <c r="O39" s="21" t="s">
        <v>187</v>
      </c>
      <c r="P39" s="26" t="s">
        <v>137</v>
      </c>
      <c r="Q39" s="26" t="s">
        <v>138</v>
      </c>
      <c r="R39" s="26" t="s">
        <v>139</v>
      </c>
      <c r="S39" s="26">
        <v>24.26</v>
      </c>
      <c r="T39" s="26" t="s">
        <v>135</v>
      </c>
      <c r="U39" s="26">
        <v>1</v>
      </c>
      <c r="V39" s="38" t="s">
        <v>120</v>
      </c>
      <c r="W39" s="30">
        <v>235.849056603774</v>
      </c>
      <c r="X39" s="30">
        <f t="shared" si="9"/>
        <v>5721.69811320756</v>
      </c>
      <c r="Y39" s="31">
        <f>X39-0</f>
        <v>5721.69811320756</v>
      </c>
      <c r="Z39" s="32" t="s">
        <v>89</v>
      </c>
      <c r="AA39" s="32" t="s">
        <v>143</v>
      </c>
      <c r="AB39" s="33" t="s">
        <v>227</v>
      </c>
      <c r="AC39" s="7"/>
      <c r="AD39" s="20">
        <v>32</v>
      </c>
      <c r="AE39" s="21" t="s">
        <v>228</v>
      </c>
      <c r="AF39" s="26" t="s">
        <v>137</v>
      </c>
      <c r="AG39" s="26" t="s">
        <v>138</v>
      </c>
      <c r="AH39" s="26" t="s">
        <v>139</v>
      </c>
      <c r="AI39" s="26">
        <v>5.96</v>
      </c>
      <c r="AJ39" s="26" t="s">
        <v>135</v>
      </c>
      <c r="AK39" s="26">
        <v>1</v>
      </c>
      <c r="AL39" s="38" t="s">
        <v>120</v>
      </c>
      <c r="AM39" s="30">
        <v>235.849056603774</v>
      </c>
      <c r="AN39" s="30">
        <f t="shared" si="0"/>
        <v>1405.66037735849</v>
      </c>
      <c r="AO39" s="30">
        <f>AN39-X65</f>
        <v>0</v>
      </c>
      <c r="AP39" s="21"/>
      <c r="AQ39" s="21"/>
      <c r="AR39" s="21"/>
    </row>
    <row r="40" spans="1:44">
      <c r="A40" s="20">
        <v>33</v>
      </c>
      <c r="B40" s="21" t="s">
        <v>229</v>
      </c>
      <c r="C40" s="26" t="s">
        <v>157</v>
      </c>
      <c r="D40" s="26" t="s">
        <v>133</v>
      </c>
      <c r="E40" s="26" t="s">
        <v>158</v>
      </c>
      <c r="F40" s="26">
        <v>10.56</v>
      </c>
      <c r="G40" s="26" t="s">
        <v>135</v>
      </c>
      <c r="H40" s="26">
        <v>1</v>
      </c>
      <c r="I40" s="26" t="s">
        <v>120</v>
      </c>
      <c r="J40" s="41">
        <v>60.377358490566</v>
      </c>
      <c r="K40" s="41">
        <f t="shared" si="8"/>
        <v>637.584905660377</v>
      </c>
      <c r="L40" s="26" t="s">
        <v>226</v>
      </c>
      <c r="M40" s="7"/>
      <c r="N40" s="20">
        <v>33</v>
      </c>
      <c r="O40" s="21" t="s">
        <v>230</v>
      </c>
      <c r="P40" s="26" t="s">
        <v>157</v>
      </c>
      <c r="Q40" s="26" t="s">
        <v>133</v>
      </c>
      <c r="R40" s="26" t="s">
        <v>158</v>
      </c>
      <c r="S40" s="26">
        <v>0</v>
      </c>
      <c r="T40" s="26" t="s">
        <v>135</v>
      </c>
      <c r="U40" s="26">
        <v>1</v>
      </c>
      <c r="V40" s="26" t="s">
        <v>120</v>
      </c>
      <c r="W40" s="30">
        <v>60.377358490566</v>
      </c>
      <c r="X40" s="30">
        <f t="shared" ref="X40:X43" si="10">S40*U40*W40</f>
        <v>0</v>
      </c>
      <c r="Y40" s="31">
        <f>X40-K34</f>
        <v>-2113.20754716981</v>
      </c>
      <c r="Z40" s="32" t="s">
        <v>90</v>
      </c>
      <c r="AA40" s="32" t="s">
        <v>143</v>
      </c>
      <c r="AB40" s="32"/>
      <c r="AC40" s="7"/>
      <c r="AD40" s="20">
        <v>33</v>
      </c>
      <c r="AE40" s="21" t="s">
        <v>231</v>
      </c>
      <c r="AF40" s="26" t="s">
        <v>232</v>
      </c>
      <c r="AG40" s="26" t="s">
        <v>153</v>
      </c>
      <c r="AH40" s="26" t="s">
        <v>233</v>
      </c>
      <c r="AI40" s="26">
        <v>1</v>
      </c>
      <c r="AJ40" s="26" t="s">
        <v>135</v>
      </c>
      <c r="AK40" s="26">
        <v>1</v>
      </c>
      <c r="AL40" s="26" t="s">
        <v>234</v>
      </c>
      <c r="AM40" s="30">
        <v>101.885</v>
      </c>
      <c r="AN40" s="41">
        <f t="shared" si="0"/>
        <v>101.885</v>
      </c>
      <c r="AO40" s="30">
        <f>AN40-X66</f>
        <v>0</v>
      </c>
      <c r="AP40" s="21"/>
      <c r="AQ40" s="21"/>
      <c r="AR40" s="21"/>
    </row>
    <row r="41" spans="1:44">
      <c r="A41" s="20">
        <v>34</v>
      </c>
      <c r="B41" s="21" t="s">
        <v>235</v>
      </c>
      <c r="C41" s="26" t="s">
        <v>145</v>
      </c>
      <c r="D41" s="26" t="s">
        <v>133</v>
      </c>
      <c r="E41" s="26" t="s">
        <v>146</v>
      </c>
      <c r="F41" s="26">
        <v>5</v>
      </c>
      <c r="G41" s="26" t="s">
        <v>135</v>
      </c>
      <c r="H41" s="26">
        <v>1</v>
      </c>
      <c r="I41" s="26" t="s">
        <v>120</v>
      </c>
      <c r="J41" s="41">
        <v>80</v>
      </c>
      <c r="K41" s="41">
        <f t="shared" ref="K41" si="11">F41*H41*J41</f>
        <v>400</v>
      </c>
      <c r="L41" s="26" t="s">
        <v>236</v>
      </c>
      <c r="M41" s="7"/>
      <c r="N41" s="20">
        <v>34</v>
      </c>
      <c r="O41" s="21" t="s">
        <v>189</v>
      </c>
      <c r="P41" s="26" t="s">
        <v>147</v>
      </c>
      <c r="Q41" s="26" t="s">
        <v>138</v>
      </c>
      <c r="R41" s="26" t="s">
        <v>148</v>
      </c>
      <c r="S41" s="26">
        <v>0</v>
      </c>
      <c r="T41" s="26" t="s">
        <v>135</v>
      </c>
      <c r="U41" s="26">
        <v>1</v>
      </c>
      <c r="V41" s="26" t="s">
        <v>120</v>
      </c>
      <c r="W41" s="30">
        <v>295</v>
      </c>
      <c r="X41" s="30">
        <f t="shared" si="10"/>
        <v>0</v>
      </c>
      <c r="Y41" s="31">
        <f>X41-K36</f>
        <v>-2950</v>
      </c>
      <c r="Z41" s="32" t="s">
        <v>90</v>
      </c>
      <c r="AA41" s="32" t="s">
        <v>143</v>
      </c>
      <c r="AB41" s="32"/>
      <c r="AC41" s="7"/>
      <c r="AD41" s="20">
        <v>34</v>
      </c>
      <c r="AE41" s="21" t="s">
        <v>237</v>
      </c>
      <c r="AF41" s="26" t="s">
        <v>152</v>
      </c>
      <c r="AG41" s="26" t="s">
        <v>153</v>
      </c>
      <c r="AH41" s="26" t="s">
        <v>154</v>
      </c>
      <c r="AI41" s="26">
        <v>3.32</v>
      </c>
      <c r="AJ41" s="26" t="s">
        <v>155</v>
      </c>
      <c r="AK41" s="26">
        <v>1</v>
      </c>
      <c r="AL41" s="26" t="s">
        <v>120</v>
      </c>
      <c r="AM41" s="30">
        <v>39.8396226415094</v>
      </c>
      <c r="AN41" s="41">
        <f t="shared" si="0"/>
        <v>132.267547169811</v>
      </c>
      <c r="AO41" s="30">
        <f>AN41-X67</f>
        <v>0</v>
      </c>
      <c r="AP41" s="21"/>
      <c r="AQ41" s="21"/>
      <c r="AR41" s="21"/>
    </row>
    <row r="42" spans="1:44">
      <c r="A42" s="20">
        <v>35</v>
      </c>
      <c r="B42" s="21" t="s">
        <v>238</v>
      </c>
      <c r="C42" s="26" t="s">
        <v>239</v>
      </c>
      <c r="D42" s="26" t="s">
        <v>133</v>
      </c>
      <c r="E42" s="26" t="s">
        <v>240</v>
      </c>
      <c r="F42" s="26">
        <v>54</v>
      </c>
      <c r="G42" s="26" t="s">
        <v>135</v>
      </c>
      <c r="H42" s="26">
        <v>1</v>
      </c>
      <c r="I42" s="26" t="s">
        <v>120</v>
      </c>
      <c r="J42" s="41">
        <v>40</v>
      </c>
      <c r="K42" s="41">
        <f t="shared" si="8"/>
        <v>2160</v>
      </c>
      <c r="L42" s="26" t="s">
        <v>241</v>
      </c>
      <c r="M42" s="7"/>
      <c r="N42" s="20">
        <v>35</v>
      </c>
      <c r="O42" s="21" t="s">
        <v>218</v>
      </c>
      <c r="P42" s="26" t="s">
        <v>157</v>
      </c>
      <c r="Q42" s="26" t="s">
        <v>133</v>
      </c>
      <c r="R42" s="26" t="s">
        <v>158</v>
      </c>
      <c r="S42" s="26">
        <v>0</v>
      </c>
      <c r="T42" s="26" t="s">
        <v>135</v>
      </c>
      <c r="U42" s="26">
        <v>1</v>
      </c>
      <c r="V42" s="26" t="s">
        <v>120</v>
      </c>
      <c r="W42" s="30">
        <v>60.377358490566</v>
      </c>
      <c r="X42" s="30">
        <f t="shared" si="10"/>
        <v>0</v>
      </c>
      <c r="Y42" s="31">
        <f>X42-K37</f>
        <v>-422.641509433962</v>
      </c>
      <c r="Z42" s="32" t="s">
        <v>90</v>
      </c>
      <c r="AA42" s="32" t="s">
        <v>143</v>
      </c>
      <c r="AB42" s="32"/>
      <c r="AC42" s="7"/>
      <c r="AD42" s="20">
        <v>35</v>
      </c>
      <c r="AE42" s="21" t="s">
        <v>242</v>
      </c>
      <c r="AF42" s="26" t="s">
        <v>232</v>
      </c>
      <c r="AG42" s="26" t="s">
        <v>153</v>
      </c>
      <c r="AH42" s="26" t="s">
        <v>233</v>
      </c>
      <c r="AI42" s="26">
        <v>1</v>
      </c>
      <c r="AJ42" s="26" t="s">
        <v>135</v>
      </c>
      <c r="AK42" s="26">
        <v>4</v>
      </c>
      <c r="AL42" s="26" t="s">
        <v>234</v>
      </c>
      <c r="AM42" s="30">
        <v>101.885</v>
      </c>
      <c r="AN42" s="30">
        <f t="shared" si="0"/>
        <v>407.54</v>
      </c>
      <c r="AO42" s="46">
        <f t="shared" ref="AO42:AO53" si="12">AN42-X69</f>
        <v>0</v>
      </c>
      <c r="AP42" s="43"/>
      <c r="AQ42" s="43"/>
      <c r="AR42" s="43"/>
    </row>
    <row r="43" ht="36" spans="1:44">
      <c r="A43" s="20">
        <v>36</v>
      </c>
      <c r="B43" s="21" t="s">
        <v>243</v>
      </c>
      <c r="C43" s="26" t="s">
        <v>244</v>
      </c>
      <c r="D43" s="26" t="s">
        <v>245</v>
      </c>
      <c r="E43" s="26" t="s">
        <v>246</v>
      </c>
      <c r="F43" s="26">
        <v>3</v>
      </c>
      <c r="G43" s="26" t="s">
        <v>184</v>
      </c>
      <c r="H43" s="26">
        <v>1</v>
      </c>
      <c r="I43" s="26" t="s">
        <v>120</v>
      </c>
      <c r="J43" s="41">
        <v>480</v>
      </c>
      <c r="K43" s="41">
        <f t="shared" si="1"/>
        <v>1440</v>
      </c>
      <c r="L43" s="26" t="s">
        <v>247</v>
      </c>
      <c r="M43" s="7"/>
      <c r="N43" s="20">
        <v>36</v>
      </c>
      <c r="O43" s="21" t="s">
        <v>189</v>
      </c>
      <c r="P43" s="26" t="s">
        <v>137</v>
      </c>
      <c r="Q43" s="26" t="s">
        <v>138</v>
      </c>
      <c r="R43" s="26" t="s">
        <v>139</v>
      </c>
      <c r="S43" s="26">
        <v>12.46</v>
      </c>
      <c r="T43" s="26" t="s">
        <v>135</v>
      </c>
      <c r="U43" s="26">
        <v>1</v>
      </c>
      <c r="V43" s="38" t="s">
        <v>120</v>
      </c>
      <c r="W43" s="30">
        <v>235.849056603774</v>
      </c>
      <c r="X43" s="30">
        <f t="shared" si="10"/>
        <v>2938.67924528302</v>
      </c>
      <c r="Y43" s="31">
        <f>X43-0</f>
        <v>2938.67924528302</v>
      </c>
      <c r="Z43" s="32" t="s">
        <v>89</v>
      </c>
      <c r="AA43" s="32" t="s">
        <v>143</v>
      </c>
      <c r="AB43" s="33" t="s">
        <v>248</v>
      </c>
      <c r="AC43" s="7"/>
      <c r="AD43" s="20">
        <v>36</v>
      </c>
      <c r="AE43" s="21" t="s">
        <v>249</v>
      </c>
      <c r="AF43" s="26"/>
      <c r="AG43" s="26"/>
      <c r="AH43" s="26" t="s">
        <v>250</v>
      </c>
      <c r="AI43" s="26">
        <v>0.6</v>
      </c>
      <c r="AJ43" s="26" t="s">
        <v>251</v>
      </c>
      <c r="AK43" s="26">
        <v>4</v>
      </c>
      <c r="AL43" s="26" t="s">
        <v>251</v>
      </c>
      <c r="AM43" s="30">
        <v>191</v>
      </c>
      <c r="AN43" s="30">
        <f t="shared" si="0"/>
        <v>458.4</v>
      </c>
      <c r="AO43" s="46">
        <f t="shared" si="12"/>
        <v>0</v>
      </c>
      <c r="AP43" s="43"/>
      <c r="AQ43" s="43"/>
      <c r="AR43" s="43"/>
    </row>
    <row r="44" spans="1:44">
      <c r="A44" s="20">
        <v>37</v>
      </c>
      <c r="B44" s="21" t="s">
        <v>252</v>
      </c>
      <c r="C44" s="26" t="s">
        <v>145</v>
      </c>
      <c r="D44" s="26" t="s">
        <v>133</v>
      </c>
      <c r="E44" s="26" t="s">
        <v>146</v>
      </c>
      <c r="F44" s="26">
        <v>4</v>
      </c>
      <c r="G44" s="26" t="s">
        <v>135</v>
      </c>
      <c r="H44" s="26">
        <v>1</v>
      </c>
      <c r="I44" s="26" t="s">
        <v>120</v>
      </c>
      <c r="J44" s="41">
        <v>80</v>
      </c>
      <c r="K44" s="41">
        <f t="shared" si="1"/>
        <v>320</v>
      </c>
      <c r="L44" s="26" t="s">
        <v>253</v>
      </c>
      <c r="M44" s="7"/>
      <c r="N44" s="20">
        <v>37</v>
      </c>
      <c r="O44" s="21" t="s">
        <v>193</v>
      </c>
      <c r="P44" s="26" t="s">
        <v>194</v>
      </c>
      <c r="Q44" s="26" t="s">
        <v>195</v>
      </c>
      <c r="R44" s="26" t="s">
        <v>196</v>
      </c>
      <c r="S44" s="26">
        <v>2.2</v>
      </c>
      <c r="T44" s="26" t="s">
        <v>184</v>
      </c>
      <c r="U44" s="26">
        <v>1</v>
      </c>
      <c r="V44" s="26" t="s">
        <v>120</v>
      </c>
      <c r="W44" s="30">
        <v>750</v>
      </c>
      <c r="X44" s="30">
        <f t="shared" ref="X44:X54" si="13">S44*U44*W44</f>
        <v>1650</v>
      </c>
      <c r="Y44" s="31">
        <f>X44-K38</f>
        <v>0</v>
      </c>
      <c r="Z44" s="32"/>
      <c r="AA44" s="32"/>
      <c r="AB44" s="32" t="s">
        <v>254</v>
      </c>
      <c r="AC44" s="7"/>
      <c r="AD44" s="20">
        <v>37</v>
      </c>
      <c r="AE44" s="21" t="s">
        <v>255</v>
      </c>
      <c r="AF44" s="26" t="s">
        <v>152</v>
      </c>
      <c r="AG44" s="26" t="s">
        <v>153</v>
      </c>
      <c r="AH44" s="26" t="s">
        <v>154</v>
      </c>
      <c r="AI44" s="26">
        <v>2</v>
      </c>
      <c r="AJ44" s="26" t="s">
        <v>155</v>
      </c>
      <c r="AK44" s="26">
        <v>4</v>
      </c>
      <c r="AL44" s="26" t="s">
        <v>234</v>
      </c>
      <c r="AM44" s="30">
        <v>39.8396226415094</v>
      </c>
      <c r="AN44" s="30">
        <f t="shared" ref="AN44:AN55" si="14">AI44*AK44*AM44</f>
        <v>318.716981132075</v>
      </c>
      <c r="AO44" s="46">
        <f t="shared" si="12"/>
        <v>0</v>
      </c>
      <c r="AP44" s="43"/>
      <c r="AQ44" s="43"/>
      <c r="AR44" s="43"/>
    </row>
    <row r="45" spans="1:44">
      <c r="A45" s="20">
        <v>38</v>
      </c>
      <c r="B45" s="21" t="s">
        <v>256</v>
      </c>
      <c r="C45" s="26" t="s">
        <v>147</v>
      </c>
      <c r="D45" s="26" t="s">
        <v>138</v>
      </c>
      <c r="E45" s="26" t="s">
        <v>148</v>
      </c>
      <c r="F45" s="26">
        <v>10.5</v>
      </c>
      <c r="G45" s="26" t="s">
        <v>135</v>
      </c>
      <c r="H45" s="26">
        <v>1</v>
      </c>
      <c r="I45" s="26" t="s">
        <v>120</v>
      </c>
      <c r="J45" s="41">
        <v>295</v>
      </c>
      <c r="K45" s="41">
        <f t="shared" si="1"/>
        <v>3097.5</v>
      </c>
      <c r="L45" s="26" t="s">
        <v>257</v>
      </c>
      <c r="M45" s="7"/>
      <c r="N45" s="20">
        <v>38</v>
      </c>
      <c r="O45" s="21" t="s">
        <v>198</v>
      </c>
      <c r="P45" s="26" t="s">
        <v>145</v>
      </c>
      <c r="Q45" s="26" t="s">
        <v>133</v>
      </c>
      <c r="R45" s="26" t="s">
        <v>146</v>
      </c>
      <c r="S45" s="26">
        <v>2.52</v>
      </c>
      <c r="T45" s="26" t="s">
        <v>135</v>
      </c>
      <c r="U45" s="26">
        <v>1</v>
      </c>
      <c r="V45" s="26" t="s">
        <v>120</v>
      </c>
      <c r="W45" s="30">
        <v>80</v>
      </c>
      <c r="X45" s="30">
        <f t="shared" si="13"/>
        <v>201.6</v>
      </c>
      <c r="Y45" s="31">
        <f>X45-K41</f>
        <v>-198.4</v>
      </c>
      <c r="Z45" s="32" t="s">
        <v>92</v>
      </c>
      <c r="AA45" s="32" t="s">
        <v>143</v>
      </c>
      <c r="AB45" s="32" t="s">
        <v>258</v>
      </c>
      <c r="AC45" s="7"/>
      <c r="AD45" s="20">
        <v>38</v>
      </c>
      <c r="AE45" s="21" t="s">
        <v>259</v>
      </c>
      <c r="AF45" s="26" t="s">
        <v>145</v>
      </c>
      <c r="AG45" s="26" t="s">
        <v>133</v>
      </c>
      <c r="AH45" s="26" t="s">
        <v>146</v>
      </c>
      <c r="AI45" s="26">
        <v>0.9</v>
      </c>
      <c r="AJ45" s="26" t="s">
        <v>135</v>
      </c>
      <c r="AK45" s="26">
        <v>4</v>
      </c>
      <c r="AL45" s="26" t="s">
        <v>234</v>
      </c>
      <c r="AM45" s="30">
        <v>80</v>
      </c>
      <c r="AN45" s="30">
        <f t="shared" si="14"/>
        <v>288</v>
      </c>
      <c r="AO45" s="46">
        <f t="shared" si="12"/>
        <v>0</v>
      </c>
      <c r="AP45" s="43"/>
      <c r="AQ45" s="43"/>
      <c r="AR45" s="43"/>
    </row>
    <row r="46" spans="1:44">
      <c r="A46" s="20">
        <v>39</v>
      </c>
      <c r="B46" s="21" t="s">
        <v>260</v>
      </c>
      <c r="C46" s="26" t="s">
        <v>157</v>
      </c>
      <c r="D46" s="26" t="s">
        <v>133</v>
      </c>
      <c r="E46" s="26" t="s">
        <v>158</v>
      </c>
      <c r="F46" s="26">
        <v>10.5</v>
      </c>
      <c r="G46" s="26" t="s">
        <v>135</v>
      </c>
      <c r="H46" s="26">
        <v>1</v>
      </c>
      <c r="I46" s="26" t="s">
        <v>120</v>
      </c>
      <c r="J46" s="41">
        <v>60.377358490566</v>
      </c>
      <c r="K46" s="41">
        <f t="shared" si="1"/>
        <v>633.962264150943</v>
      </c>
      <c r="L46" s="26" t="s">
        <v>257</v>
      </c>
      <c r="M46" s="7"/>
      <c r="N46" s="20">
        <v>39</v>
      </c>
      <c r="O46" s="51" t="s">
        <v>238</v>
      </c>
      <c r="P46" s="38" t="s">
        <v>239</v>
      </c>
      <c r="Q46" s="38" t="s">
        <v>133</v>
      </c>
      <c r="R46" s="38" t="s">
        <v>240</v>
      </c>
      <c r="S46" s="38">
        <v>0</v>
      </c>
      <c r="T46" s="38" t="s">
        <v>135</v>
      </c>
      <c r="U46" s="38">
        <v>1</v>
      </c>
      <c r="V46" s="38" t="s">
        <v>120</v>
      </c>
      <c r="W46" s="46">
        <v>40</v>
      </c>
      <c r="X46" s="46">
        <f t="shared" si="13"/>
        <v>0</v>
      </c>
      <c r="Y46" s="31">
        <f>X46-K42</f>
        <v>-2160</v>
      </c>
      <c r="Z46" s="32" t="s">
        <v>90</v>
      </c>
      <c r="AA46" s="32" t="s">
        <v>143</v>
      </c>
      <c r="AB46" s="32"/>
      <c r="AC46" s="7"/>
      <c r="AD46" s="20">
        <v>39</v>
      </c>
      <c r="AE46" s="21" t="s">
        <v>261</v>
      </c>
      <c r="AF46" s="26" t="s">
        <v>262</v>
      </c>
      <c r="AG46" s="26" t="s">
        <v>133</v>
      </c>
      <c r="AH46" s="26" t="s">
        <v>263</v>
      </c>
      <c r="AI46" s="26">
        <v>5</v>
      </c>
      <c r="AJ46" s="26" t="s">
        <v>135</v>
      </c>
      <c r="AK46" s="26">
        <v>1</v>
      </c>
      <c r="AL46" s="26" t="s">
        <v>120</v>
      </c>
      <c r="AM46" s="30">
        <v>47.17</v>
      </c>
      <c r="AN46" s="30">
        <f t="shared" si="14"/>
        <v>235.85</v>
      </c>
      <c r="AO46" s="46">
        <f t="shared" si="12"/>
        <v>0</v>
      </c>
      <c r="AP46" s="43"/>
      <c r="AQ46" s="43"/>
      <c r="AR46" s="43"/>
    </row>
    <row r="47" spans="1:44">
      <c r="A47" s="20">
        <v>40</v>
      </c>
      <c r="B47" s="21" t="s">
        <v>264</v>
      </c>
      <c r="C47" s="49" t="s">
        <v>152</v>
      </c>
      <c r="D47" s="50" t="s">
        <v>153</v>
      </c>
      <c r="E47" s="50" t="s">
        <v>154</v>
      </c>
      <c r="F47" s="50">
        <v>7.4</v>
      </c>
      <c r="G47" s="50" t="s">
        <v>155</v>
      </c>
      <c r="H47" s="50">
        <v>1</v>
      </c>
      <c r="I47" s="50" t="s">
        <v>120</v>
      </c>
      <c r="J47" s="41">
        <v>39.8396226415094</v>
      </c>
      <c r="K47" s="41">
        <f t="shared" si="1"/>
        <v>294.81320754717</v>
      </c>
      <c r="L47" s="26" t="s">
        <v>265</v>
      </c>
      <c r="M47" s="7"/>
      <c r="N47" s="20">
        <v>40</v>
      </c>
      <c r="O47" s="48" t="s">
        <v>266</v>
      </c>
      <c r="P47" s="26" t="s">
        <v>244</v>
      </c>
      <c r="Q47" s="26" t="s">
        <v>245</v>
      </c>
      <c r="R47" s="26" t="s">
        <v>246</v>
      </c>
      <c r="S47" s="26">
        <v>0</v>
      </c>
      <c r="T47" s="26" t="s">
        <v>184</v>
      </c>
      <c r="U47" s="26">
        <v>1</v>
      </c>
      <c r="V47" s="26" t="s">
        <v>120</v>
      </c>
      <c r="W47" s="41">
        <v>480</v>
      </c>
      <c r="X47" s="41">
        <f t="shared" si="13"/>
        <v>0</v>
      </c>
      <c r="Y47" s="31">
        <f>X47-K43</f>
        <v>-1440</v>
      </c>
      <c r="Z47" s="32" t="s">
        <v>90</v>
      </c>
      <c r="AA47" s="32" t="s">
        <v>143</v>
      </c>
      <c r="AB47" s="32"/>
      <c r="AC47" s="7"/>
      <c r="AD47" s="20">
        <v>40</v>
      </c>
      <c r="AE47" s="21" t="s">
        <v>267</v>
      </c>
      <c r="AF47" s="26" t="s">
        <v>268</v>
      </c>
      <c r="AG47" s="26" t="s">
        <v>269</v>
      </c>
      <c r="AH47" s="26" t="s">
        <v>270</v>
      </c>
      <c r="AI47" s="26">
        <v>6</v>
      </c>
      <c r="AJ47" s="26" t="s">
        <v>271</v>
      </c>
      <c r="AK47" s="26">
        <v>2</v>
      </c>
      <c r="AL47" s="26" t="s">
        <v>120</v>
      </c>
      <c r="AM47" s="30">
        <v>200</v>
      </c>
      <c r="AN47" s="41">
        <f t="shared" si="14"/>
        <v>2400</v>
      </c>
      <c r="AO47" s="46">
        <f t="shared" si="12"/>
        <v>0</v>
      </c>
      <c r="AP47" s="43"/>
      <c r="AQ47" s="43"/>
      <c r="AR47" s="43"/>
    </row>
    <row r="48" spans="1:44">
      <c r="A48" s="20">
        <v>41</v>
      </c>
      <c r="B48" s="21" t="s">
        <v>272</v>
      </c>
      <c r="C48" s="26" t="s">
        <v>145</v>
      </c>
      <c r="D48" s="26" t="s">
        <v>133</v>
      </c>
      <c r="E48" s="26" t="s">
        <v>146</v>
      </c>
      <c r="F48" s="26">
        <v>1</v>
      </c>
      <c r="G48" s="26" t="s">
        <v>135</v>
      </c>
      <c r="H48" s="26">
        <v>1</v>
      </c>
      <c r="I48" s="26" t="s">
        <v>120</v>
      </c>
      <c r="J48" s="41">
        <v>80</v>
      </c>
      <c r="K48" s="41">
        <f t="shared" si="1"/>
        <v>80</v>
      </c>
      <c r="L48" s="26" t="s">
        <v>253</v>
      </c>
      <c r="M48" s="7"/>
      <c r="N48" s="20">
        <v>41</v>
      </c>
      <c r="O48" s="48" t="s">
        <v>203</v>
      </c>
      <c r="P48" s="26" t="s">
        <v>181</v>
      </c>
      <c r="Q48" s="26" t="s">
        <v>182</v>
      </c>
      <c r="R48" s="26" t="s">
        <v>183</v>
      </c>
      <c r="S48" s="26">
        <v>3.26</v>
      </c>
      <c r="T48" s="26" t="s">
        <v>184</v>
      </c>
      <c r="U48" s="26">
        <v>1</v>
      </c>
      <c r="V48" s="26" t="s">
        <v>120</v>
      </c>
      <c r="W48" s="30">
        <v>139.62</v>
      </c>
      <c r="X48" s="30">
        <f t="shared" si="13"/>
        <v>455.1612</v>
      </c>
      <c r="Y48" s="31">
        <f>X48-0</f>
        <v>455.1612</v>
      </c>
      <c r="Z48" s="32" t="s">
        <v>89</v>
      </c>
      <c r="AA48" s="32" t="s">
        <v>143</v>
      </c>
      <c r="AB48" s="32" t="s">
        <v>273</v>
      </c>
      <c r="AC48" s="7"/>
      <c r="AD48" s="20">
        <v>41</v>
      </c>
      <c r="AE48" s="21" t="s">
        <v>274</v>
      </c>
      <c r="AF48" s="26" t="s">
        <v>275</v>
      </c>
      <c r="AG48" s="26" t="s">
        <v>269</v>
      </c>
      <c r="AH48" s="26" t="s">
        <v>276</v>
      </c>
      <c r="AI48" s="26">
        <v>3</v>
      </c>
      <c r="AJ48" s="26" t="s">
        <v>271</v>
      </c>
      <c r="AK48" s="26">
        <v>2</v>
      </c>
      <c r="AL48" s="26" t="s">
        <v>120</v>
      </c>
      <c r="AM48" s="30">
        <v>260</v>
      </c>
      <c r="AN48" s="41">
        <f t="shared" si="14"/>
        <v>1560</v>
      </c>
      <c r="AO48" s="46">
        <f t="shared" si="12"/>
        <v>0</v>
      </c>
      <c r="AP48" s="43"/>
      <c r="AQ48" s="43"/>
      <c r="AR48" s="43"/>
    </row>
    <row r="49" spans="1:44">
      <c r="A49" s="20">
        <v>42</v>
      </c>
      <c r="B49" s="21" t="s">
        <v>277</v>
      </c>
      <c r="C49" s="26" t="s">
        <v>221</v>
      </c>
      <c r="D49" s="26" t="s">
        <v>195</v>
      </c>
      <c r="E49" s="26" t="s">
        <v>222</v>
      </c>
      <c r="F49" s="26">
        <v>1.2</v>
      </c>
      <c r="G49" s="26" t="s">
        <v>184</v>
      </c>
      <c r="H49" s="26">
        <v>1</v>
      </c>
      <c r="I49" s="26" t="s">
        <v>120</v>
      </c>
      <c r="J49" s="41">
        <v>750</v>
      </c>
      <c r="K49" s="41">
        <f t="shared" si="1"/>
        <v>900</v>
      </c>
      <c r="L49" s="26" t="s">
        <v>278</v>
      </c>
      <c r="M49" s="7"/>
      <c r="N49" s="20">
        <v>42</v>
      </c>
      <c r="O49" s="21" t="s">
        <v>207</v>
      </c>
      <c r="P49" s="26" t="s">
        <v>145</v>
      </c>
      <c r="Q49" s="26" t="s">
        <v>133</v>
      </c>
      <c r="R49" s="26" t="s">
        <v>146</v>
      </c>
      <c r="S49" s="26">
        <v>4.22</v>
      </c>
      <c r="T49" s="26" t="s">
        <v>135</v>
      </c>
      <c r="U49" s="26">
        <v>1</v>
      </c>
      <c r="V49" s="26" t="s">
        <v>120</v>
      </c>
      <c r="W49" s="30">
        <v>80</v>
      </c>
      <c r="X49" s="30">
        <f t="shared" si="13"/>
        <v>337.6</v>
      </c>
      <c r="Y49" s="31">
        <f>X49-K44</f>
        <v>17.6</v>
      </c>
      <c r="Z49" s="32" t="s">
        <v>91</v>
      </c>
      <c r="AA49" s="32" t="s">
        <v>143</v>
      </c>
      <c r="AB49" s="32" t="s">
        <v>279</v>
      </c>
      <c r="AC49" s="7"/>
      <c r="AD49" s="20">
        <v>42</v>
      </c>
      <c r="AE49" s="21" t="s">
        <v>280</v>
      </c>
      <c r="AF49" s="26" t="s">
        <v>281</v>
      </c>
      <c r="AG49" s="26" t="s">
        <v>269</v>
      </c>
      <c r="AH49" s="26" t="s">
        <v>282</v>
      </c>
      <c r="AI49" s="26">
        <v>5</v>
      </c>
      <c r="AJ49" s="26" t="s">
        <v>271</v>
      </c>
      <c r="AK49" s="26">
        <v>2</v>
      </c>
      <c r="AL49" s="26" t="s">
        <v>120</v>
      </c>
      <c r="AM49" s="30">
        <v>280</v>
      </c>
      <c r="AN49" s="30">
        <f t="shared" si="14"/>
        <v>2800</v>
      </c>
      <c r="AO49" s="46">
        <f t="shared" si="12"/>
        <v>0</v>
      </c>
      <c r="AP49" s="43"/>
      <c r="AQ49" s="43"/>
      <c r="AR49" s="43"/>
    </row>
    <row r="50" spans="1:44">
      <c r="A50" s="20">
        <v>43</v>
      </c>
      <c r="B50" s="21" t="s">
        <v>283</v>
      </c>
      <c r="C50" s="26" t="s">
        <v>147</v>
      </c>
      <c r="D50" s="26" t="s">
        <v>138</v>
      </c>
      <c r="E50" s="26" t="s">
        <v>148</v>
      </c>
      <c r="F50" s="26">
        <v>10</v>
      </c>
      <c r="G50" s="26" t="s">
        <v>135</v>
      </c>
      <c r="H50" s="26">
        <v>1</v>
      </c>
      <c r="I50" s="26" t="s">
        <v>120</v>
      </c>
      <c r="J50" s="41">
        <v>295</v>
      </c>
      <c r="K50" s="41">
        <f t="shared" si="1"/>
        <v>2950</v>
      </c>
      <c r="L50" s="26" t="s">
        <v>284</v>
      </c>
      <c r="M50" s="7"/>
      <c r="N50" s="20">
        <v>43</v>
      </c>
      <c r="O50" s="21" t="s">
        <v>210</v>
      </c>
      <c r="P50" s="26" t="s">
        <v>152</v>
      </c>
      <c r="Q50" s="26" t="s">
        <v>153</v>
      </c>
      <c r="R50" s="26" t="s">
        <v>154</v>
      </c>
      <c r="S50" s="26">
        <v>3.05</v>
      </c>
      <c r="T50" s="26" t="s">
        <v>155</v>
      </c>
      <c r="U50" s="26">
        <v>1</v>
      </c>
      <c r="V50" s="26" t="s">
        <v>120</v>
      </c>
      <c r="W50" s="30">
        <v>39.8396226415094</v>
      </c>
      <c r="X50" s="30">
        <f t="shared" si="13"/>
        <v>121.510849056604</v>
      </c>
      <c r="Y50" s="31">
        <f>X50-0</f>
        <v>121.510849056604</v>
      </c>
      <c r="Z50" s="32" t="s">
        <v>89</v>
      </c>
      <c r="AA50" s="32" t="s">
        <v>143</v>
      </c>
      <c r="AB50" s="32" t="s">
        <v>285</v>
      </c>
      <c r="AC50" s="7"/>
      <c r="AD50" s="20">
        <v>43</v>
      </c>
      <c r="AE50" s="21" t="s">
        <v>286</v>
      </c>
      <c r="AF50" s="26" t="s">
        <v>268</v>
      </c>
      <c r="AG50" s="26" t="s">
        <v>269</v>
      </c>
      <c r="AH50" s="26" t="s">
        <v>270</v>
      </c>
      <c r="AI50" s="26">
        <v>6</v>
      </c>
      <c r="AJ50" s="26" t="s">
        <v>271</v>
      </c>
      <c r="AK50" s="26">
        <v>1</v>
      </c>
      <c r="AL50" s="26" t="s">
        <v>120</v>
      </c>
      <c r="AM50" s="30">
        <v>200</v>
      </c>
      <c r="AN50" s="30">
        <f t="shared" si="14"/>
        <v>1200</v>
      </c>
      <c r="AO50" s="46">
        <f t="shared" si="12"/>
        <v>0</v>
      </c>
      <c r="AP50" s="43"/>
      <c r="AQ50" s="43"/>
      <c r="AR50" s="43"/>
    </row>
    <row r="51" spans="1:44">
      <c r="A51" s="20">
        <v>44</v>
      </c>
      <c r="B51" s="21" t="s">
        <v>287</v>
      </c>
      <c r="C51" s="26" t="s">
        <v>157</v>
      </c>
      <c r="D51" s="26" t="s">
        <v>133</v>
      </c>
      <c r="E51" s="26" t="s">
        <v>158</v>
      </c>
      <c r="F51" s="26">
        <v>10</v>
      </c>
      <c r="G51" s="26" t="s">
        <v>135</v>
      </c>
      <c r="H51" s="26">
        <v>1</v>
      </c>
      <c r="I51" s="26" t="s">
        <v>120</v>
      </c>
      <c r="J51" s="41">
        <v>60.377358490566</v>
      </c>
      <c r="K51" s="41">
        <f t="shared" si="1"/>
        <v>603.77358490566</v>
      </c>
      <c r="L51" s="26" t="s">
        <v>284</v>
      </c>
      <c r="M51" s="7"/>
      <c r="N51" s="20">
        <v>44</v>
      </c>
      <c r="O51" s="21" t="s">
        <v>214</v>
      </c>
      <c r="P51" s="26" t="s">
        <v>170</v>
      </c>
      <c r="Q51" s="26" t="s">
        <v>138</v>
      </c>
      <c r="R51" s="26" t="s">
        <v>171</v>
      </c>
      <c r="S51" s="26">
        <v>1.42</v>
      </c>
      <c r="T51" s="26" t="s">
        <v>135</v>
      </c>
      <c r="U51" s="26">
        <v>1</v>
      </c>
      <c r="V51" s="26" t="s">
        <v>120</v>
      </c>
      <c r="W51" s="30">
        <v>187</v>
      </c>
      <c r="X51" s="30">
        <f t="shared" si="13"/>
        <v>265.54</v>
      </c>
      <c r="Y51" s="31">
        <f>X51-0</f>
        <v>265.54</v>
      </c>
      <c r="Z51" s="32" t="s">
        <v>89</v>
      </c>
      <c r="AA51" s="32" t="s">
        <v>143</v>
      </c>
      <c r="AB51" s="32" t="s">
        <v>288</v>
      </c>
      <c r="AC51" s="7"/>
      <c r="AD51" s="20">
        <v>44</v>
      </c>
      <c r="AE51" s="21" t="s">
        <v>289</v>
      </c>
      <c r="AF51" s="26"/>
      <c r="AG51" s="26"/>
      <c r="AH51" s="26" t="s">
        <v>290</v>
      </c>
      <c r="AI51" s="26">
        <v>100</v>
      </c>
      <c r="AJ51" s="26" t="s">
        <v>234</v>
      </c>
      <c r="AK51" s="26">
        <v>2</v>
      </c>
      <c r="AL51" s="26" t="s">
        <v>120</v>
      </c>
      <c r="AM51" s="30">
        <v>1</v>
      </c>
      <c r="AN51" s="30">
        <f t="shared" si="14"/>
        <v>200</v>
      </c>
      <c r="AO51" s="46">
        <f t="shared" si="12"/>
        <v>0</v>
      </c>
      <c r="AP51" s="43"/>
      <c r="AQ51" s="43"/>
      <c r="AR51" s="43"/>
    </row>
    <row r="52" spans="1:44">
      <c r="A52" s="20">
        <v>45</v>
      </c>
      <c r="B52" s="21" t="s">
        <v>291</v>
      </c>
      <c r="C52" s="26" t="s">
        <v>292</v>
      </c>
      <c r="D52" s="26" t="s">
        <v>153</v>
      </c>
      <c r="E52" s="26" t="s">
        <v>293</v>
      </c>
      <c r="F52" s="26">
        <v>3</v>
      </c>
      <c r="G52" s="26" t="s">
        <v>135</v>
      </c>
      <c r="H52" s="26">
        <v>1</v>
      </c>
      <c r="I52" s="26" t="s">
        <v>119</v>
      </c>
      <c r="J52" s="41">
        <v>169.905</v>
      </c>
      <c r="K52" s="41">
        <f t="shared" si="1"/>
        <v>509.715</v>
      </c>
      <c r="L52" s="26" t="s">
        <v>294</v>
      </c>
      <c r="M52" s="7"/>
      <c r="N52" s="20">
        <v>45</v>
      </c>
      <c r="O52" s="21" t="s">
        <v>217</v>
      </c>
      <c r="P52" s="26" t="s">
        <v>147</v>
      </c>
      <c r="Q52" s="26" t="s">
        <v>138</v>
      </c>
      <c r="R52" s="26" t="s">
        <v>148</v>
      </c>
      <c r="S52" s="26">
        <v>0</v>
      </c>
      <c r="T52" s="26" t="s">
        <v>135</v>
      </c>
      <c r="U52" s="26">
        <v>1</v>
      </c>
      <c r="V52" s="26" t="s">
        <v>120</v>
      </c>
      <c r="W52" s="30">
        <v>295</v>
      </c>
      <c r="X52" s="41">
        <f t="shared" si="13"/>
        <v>0</v>
      </c>
      <c r="Y52" s="31">
        <f>X52-K45</f>
        <v>-3097.5</v>
      </c>
      <c r="Z52" s="32" t="s">
        <v>90</v>
      </c>
      <c r="AA52" s="32" t="s">
        <v>143</v>
      </c>
      <c r="AB52" s="32"/>
      <c r="AC52" s="7"/>
      <c r="AD52" s="20">
        <v>45</v>
      </c>
      <c r="AE52" s="21" t="s">
        <v>295</v>
      </c>
      <c r="AF52" s="26"/>
      <c r="AG52" s="26"/>
      <c r="AH52" s="26" t="s">
        <v>296</v>
      </c>
      <c r="AI52" s="26">
        <v>1000</v>
      </c>
      <c r="AJ52" s="26" t="s">
        <v>297</v>
      </c>
      <c r="AK52" s="26">
        <v>2</v>
      </c>
      <c r="AL52" s="26" t="s">
        <v>120</v>
      </c>
      <c r="AM52" s="30">
        <v>1</v>
      </c>
      <c r="AN52" s="30">
        <f t="shared" si="14"/>
        <v>2000</v>
      </c>
      <c r="AO52" s="46">
        <f t="shared" si="12"/>
        <v>0</v>
      </c>
      <c r="AP52" s="43"/>
      <c r="AQ52" s="43"/>
      <c r="AR52" s="43"/>
    </row>
    <row r="53" spans="1:44">
      <c r="A53" s="20">
        <v>46</v>
      </c>
      <c r="B53" s="21" t="s">
        <v>228</v>
      </c>
      <c r="C53" s="26" t="s">
        <v>147</v>
      </c>
      <c r="D53" s="26" t="s">
        <v>138</v>
      </c>
      <c r="E53" s="26" t="s">
        <v>148</v>
      </c>
      <c r="F53" s="26">
        <v>11.94</v>
      </c>
      <c r="G53" s="26" t="s">
        <v>135</v>
      </c>
      <c r="H53" s="26">
        <v>1</v>
      </c>
      <c r="I53" s="26" t="s">
        <v>120</v>
      </c>
      <c r="J53" s="41">
        <v>295</v>
      </c>
      <c r="K53" s="41">
        <f t="shared" ref="K53:K59" si="15">F53*H53*J53</f>
        <v>3522.3</v>
      </c>
      <c r="L53" s="26" t="s">
        <v>298</v>
      </c>
      <c r="M53" s="7"/>
      <c r="N53" s="20">
        <v>46</v>
      </c>
      <c r="O53" s="21" t="s">
        <v>299</v>
      </c>
      <c r="P53" s="26" t="s">
        <v>157</v>
      </c>
      <c r="Q53" s="26" t="s">
        <v>133</v>
      </c>
      <c r="R53" s="26" t="s">
        <v>158</v>
      </c>
      <c r="S53" s="26">
        <v>0</v>
      </c>
      <c r="T53" s="26" t="s">
        <v>135</v>
      </c>
      <c r="U53" s="26">
        <v>1</v>
      </c>
      <c r="V53" s="26" t="s">
        <v>120</v>
      </c>
      <c r="W53" s="30">
        <v>60.377358490566</v>
      </c>
      <c r="X53" s="41">
        <f t="shared" si="13"/>
        <v>0</v>
      </c>
      <c r="Y53" s="31">
        <f>X53-K46</f>
        <v>-633.962264150943</v>
      </c>
      <c r="Z53" s="32" t="s">
        <v>90</v>
      </c>
      <c r="AA53" s="32" t="s">
        <v>143</v>
      </c>
      <c r="AB53" s="32" t="s">
        <v>300</v>
      </c>
      <c r="AC53" s="7"/>
      <c r="AD53" s="20">
        <v>46</v>
      </c>
      <c r="AE53" s="21" t="s">
        <v>301</v>
      </c>
      <c r="AF53" s="26"/>
      <c r="AG53" s="26"/>
      <c r="AH53" s="26" t="s">
        <v>302</v>
      </c>
      <c r="AI53" s="26">
        <v>1000</v>
      </c>
      <c r="AJ53" s="26" t="s">
        <v>297</v>
      </c>
      <c r="AK53" s="26">
        <v>2</v>
      </c>
      <c r="AL53" s="26" t="s">
        <v>120</v>
      </c>
      <c r="AM53" s="30">
        <v>1</v>
      </c>
      <c r="AN53" s="41">
        <f t="shared" si="14"/>
        <v>2000</v>
      </c>
      <c r="AO53" s="46">
        <f t="shared" si="12"/>
        <v>0</v>
      </c>
      <c r="AP53" s="43"/>
      <c r="AQ53" s="43"/>
      <c r="AR53" s="43"/>
    </row>
    <row r="54" ht="71" spans="1:44">
      <c r="A54" s="20">
        <v>47</v>
      </c>
      <c r="B54" s="21" t="s">
        <v>303</v>
      </c>
      <c r="C54" s="26" t="s">
        <v>157</v>
      </c>
      <c r="D54" s="26" t="s">
        <v>133</v>
      </c>
      <c r="E54" s="26" t="s">
        <v>158</v>
      </c>
      <c r="F54" s="50">
        <v>11.94</v>
      </c>
      <c r="G54" s="50" t="s">
        <v>135</v>
      </c>
      <c r="H54" s="50">
        <v>1</v>
      </c>
      <c r="I54" s="50" t="s">
        <v>120</v>
      </c>
      <c r="J54" s="41">
        <v>60.377358490566</v>
      </c>
      <c r="K54" s="41">
        <f t="shared" ref="K54:K56" si="16">F54*H54*J54</f>
        <v>720.905660377358</v>
      </c>
      <c r="L54" s="26" t="s">
        <v>298</v>
      </c>
      <c r="M54" s="7"/>
      <c r="N54" s="20">
        <v>47</v>
      </c>
      <c r="O54" s="21" t="s">
        <v>217</v>
      </c>
      <c r="P54" s="26" t="s">
        <v>137</v>
      </c>
      <c r="Q54" s="26" t="s">
        <v>138</v>
      </c>
      <c r="R54" s="40" t="s">
        <v>139</v>
      </c>
      <c r="S54" s="26">
        <v>9.9</v>
      </c>
      <c r="T54" s="26" t="s">
        <v>135</v>
      </c>
      <c r="U54" s="26">
        <v>1</v>
      </c>
      <c r="V54" s="38" t="s">
        <v>120</v>
      </c>
      <c r="W54" s="30">
        <v>235.849056603774</v>
      </c>
      <c r="X54" s="30">
        <f t="shared" si="13"/>
        <v>2334.90566037736</v>
      </c>
      <c r="Y54" s="31">
        <f>X54-0</f>
        <v>2334.90566037736</v>
      </c>
      <c r="Z54" s="32" t="s">
        <v>89</v>
      </c>
      <c r="AA54" s="32" t="s">
        <v>143</v>
      </c>
      <c r="AB54" s="33" t="s">
        <v>304</v>
      </c>
      <c r="AC54" s="7"/>
      <c r="AD54" s="20">
        <v>47</v>
      </c>
      <c r="AE54" s="21" t="s">
        <v>305</v>
      </c>
      <c r="AF54" s="26" t="s">
        <v>306</v>
      </c>
      <c r="AG54" s="26" t="s">
        <v>307</v>
      </c>
      <c r="AH54" s="26" t="s">
        <v>308</v>
      </c>
      <c r="AI54" s="26">
        <v>40</v>
      </c>
      <c r="AJ54" s="26" t="s">
        <v>309</v>
      </c>
      <c r="AK54" s="26">
        <v>2</v>
      </c>
      <c r="AL54" s="38" t="s">
        <v>120</v>
      </c>
      <c r="AM54" s="41">
        <v>12</v>
      </c>
      <c r="AN54" s="41">
        <f t="shared" si="14"/>
        <v>960</v>
      </c>
      <c r="AO54" s="52">
        <f>AN54-X82</f>
        <v>0</v>
      </c>
      <c r="AP54" s="32"/>
      <c r="AQ54" s="32"/>
      <c r="AR54" s="43"/>
    </row>
    <row r="55" spans="1:44">
      <c r="A55" s="20">
        <v>48</v>
      </c>
      <c r="B55" s="21" t="s">
        <v>231</v>
      </c>
      <c r="C55" s="26" t="s">
        <v>232</v>
      </c>
      <c r="D55" s="26" t="s">
        <v>153</v>
      </c>
      <c r="E55" s="40" t="s">
        <v>233</v>
      </c>
      <c r="F55" s="26">
        <v>2</v>
      </c>
      <c r="G55" s="26" t="s">
        <v>135</v>
      </c>
      <c r="H55" s="26">
        <v>1</v>
      </c>
      <c r="I55" s="26" t="s">
        <v>234</v>
      </c>
      <c r="J55" s="41">
        <v>101.885</v>
      </c>
      <c r="K55" s="41">
        <f t="shared" ref="K55" si="17">F55*H55*J55</f>
        <v>203.77</v>
      </c>
      <c r="L55" s="26" t="s">
        <v>310</v>
      </c>
      <c r="M55" s="7"/>
      <c r="N55" s="20">
        <v>48</v>
      </c>
      <c r="O55" s="21" t="s">
        <v>311</v>
      </c>
      <c r="P55" s="26" t="s">
        <v>147</v>
      </c>
      <c r="Q55" s="26" t="s">
        <v>138</v>
      </c>
      <c r="R55" s="26" t="s">
        <v>148</v>
      </c>
      <c r="S55" s="26">
        <v>0</v>
      </c>
      <c r="T55" s="26" t="s">
        <v>135</v>
      </c>
      <c r="U55" s="26">
        <v>1</v>
      </c>
      <c r="V55" s="26" t="s">
        <v>120</v>
      </c>
      <c r="W55" s="30">
        <v>295</v>
      </c>
      <c r="X55" s="30">
        <f t="shared" ref="X55:X59" si="18">S55*U55*W55</f>
        <v>0</v>
      </c>
      <c r="Y55" s="31">
        <f>X55-K45</f>
        <v>-3097.5</v>
      </c>
      <c r="Z55" s="32" t="s">
        <v>90</v>
      </c>
      <c r="AA55" s="32" t="s">
        <v>143</v>
      </c>
      <c r="AB55" s="32"/>
      <c r="AC55" s="7"/>
      <c r="AD55" s="20">
        <v>48</v>
      </c>
      <c r="AE55" s="21" t="s">
        <v>312</v>
      </c>
      <c r="AF55" s="26" t="s">
        <v>281</v>
      </c>
      <c r="AG55" s="26" t="s">
        <v>269</v>
      </c>
      <c r="AH55" s="26" t="s">
        <v>282</v>
      </c>
      <c r="AI55" s="26">
        <v>1</v>
      </c>
      <c r="AJ55" s="26" t="s">
        <v>271</v>
      </c>
      <c r="AK55" s="26">
        <v>2</v>
      </c>
      <c r="AL55" s="26" t="s">
        <v>120</v>
      </c>
      <c r="AM55" s="30">
        <v>280</v>
      </c>
      <c r="AN55" s="53">
        <f t="shared" si="14"/>
        <v>560</v>
      </c>
      <c r="AO55" s="20">
        <f>AN55-0</f>
        <v>560</v>
      </c>
      <c r="AP55" s="21"/>
      <c r="AQ55" s="53"/>
      <c r="AR55" s="53"/>
    </row>
    <row r="56" spans="1:44">
      <c r="A56" s="20">
        <v>49</v>
      </c>
      <c r="B56" s="21" t="s">
        <v>237</v>
      </c>
      <c r="C56" s="26" t="s">
        <v>313</v>
      </c>
      <c r="D56" s="26" t="s">
        <v>138</v>
      </c>
      <c r="E56" s="26" t="s">
        <v>314</v>
      </c>
      <c r="F56" s="50">
        <v>2</v>
      </c>
      <c r="G56" s="50" t="s">
        <v>135</v>
      </c>
      <c r="H56" s="50">
        <v>1</v>
      </c>
      <c r="I56" s="50" t="s">
        <v>120</v>
      </c>
      <c r="J56" s="41">
        <v>339.62</v>
      </c>
      <c r="K56" s="41">
        <f t="shared" si="16"/>
        <v>679.24</v>
      </c>
      <c r="L56" s="26" t="s">
        <v>310</v>
      </c>
      <c r="M56" s="7"/>
      <c r="N56" s="20">
        <v>49</v>
      </c>
      <c r="O56" s="21" t="s">
        <v>260</v>
      </c>
      <c r="P56" s="26" t="s">
        <v>157</v>
      </c>
      <c r="Q56" s="26" t="s">
        <v>133</v>
      </c>
      <c r="R56" s="26" t="s">
        <v>158</v>
      </c>
      <c r="S56" s="26">
        <v>0</v>
      </c>
      <c r="T56" s="26" t="s">
        <v>135</v>
      </c>
      <c r="U56" s="26">
        <v>1</v>
      </c>
      <c r="V56" s="26" t="s">
        <v>120</v>
      </c>
      <c r="W56" s="30">
        <v>60.377358490566</v>
      </c>
      <c r="X56" s="30">
        <f t="shared" si="18"/>
        <v>0</v>
      </c>
      <c r="Y56" s="31">
        <f>X56-K46</f>
        <v>-633.962264150943</v>
      </c>
      <c r="Z56" s="32" t="s">
        <v>90</v>
      </c>
      <c r="AA56" s="32" t="s">
        <v>143</v>
      </c>
      <c r="AB56" s="32"/>
      <c r="AC56" s="7"/>
      <c r="AD56" s="20">
        <v>49</v>
      </c>
      <c r="AE56" s="27" t="s">
        <v>315</v>
      </c>
      <c r="AF56" s="28" t="s">
        <v>115</v>
      </c>
      <c r="AG56" s="28" t="s">
        <v>115</v>
      </c>
      <c r="AH56" s="28" t="s">
        <v>115</v>
      </c>
      <c r="AI56" s="28" t="s">
        <v>115</v>
      </c>
      <c r="AJ56" s="28" t="s">
        <v>115</v>
      </c>
      <c r="AK56" s="28" t="s">
        <v>115</v>
      </c>
      <c r="AL56" s="28" t="s">
        <v>115</v>
      </c>
      <c r="AM56" s="28" t="s">
        <v>115</v>
      </c>
      <c r="AN56" s="29">
        <f>SUM(AN17:AN55)</f>
        <v>63953.969464151</v>
      </c>
      <c r="AO56" s="28">
        <f>SUM(AO15:AO55)</f>
        <v>560</v>
      </c>
      <c r="AP56" s="28"/>
      <c r="AQ56" s="28"/>
      <c r="AR56" s="28"/>
    </row>
    <row r="57" spans="1:44">
      <c r="A57" s="20">
        <v>50</v>
      </c>
      <c r="B57" s="21" t="s">
        <v>242</v>
      </c>
      <c r="C57" s="26" t="s">
        <v>232</v>
      </c>
      <c r="D57" s="26" t="s">
        <v>153</v>
      </c>
      <c r="E57" s="40" t="s">
        <v>233</v>
      </c>
      <c r="F57" s="26">
        <v>2</v>
      </c>
      <c r="G57" s="26" t="s">
        <v>135</v>
      </c>
      <c r="H57" s="26">
        <v>3</v>
      </c>
      <c r="I57" s="26" t="s">
        <v>234</v>
      </c>
      <c r="J57" s="41">
        <v>101.885</v>
      </c>
      <c r="K57" s="41">
        <f t="shared" si="15"/>
        <v>611.31</v>
      </c>
      <c r="L57" s="26" t="s">
        <v>310</v>
      </c>
      <c r="M57" s="7"/>
      <c r="N57" s="20">
        <v>50</v>
      </c>
      <c r="O57" s="21" t="s">
        <v>264</v>
      </c>
      <c r="P57" s="49" t="s">
        <v>152</v>
      </c>
      <c r="Q57" s="50" t="s">
        <v>153</v>
      </c>
      <c r="R57" s="50" t="s">
        <v>154</v>
      </c>
      <c r="S57" s="50">
        <v>0</v>
      </c>
      <c r="T57" s="50" t="s">
        <v>155</v>
      </c>
      <c r="U57" s="50">
        <v>1</v>
      </c>
      <c r="V57" s="50" t="s">
        <v>120</v>
      </c>
      <c r="W57" s="30">
        <v>39.8396226415094</v>
      </c>
      <c r="X57" s="30">
        <f t="shared" si="18"/>
        <v>0</v>
      </c>
      <c r="Y57" s="31">
        <f>X57-K47</f>
        <v>-294.81320754717</v>
      </c>
      <c r="Z57" s="32" t="s">
        <v>90</v>
      </c>
      <c r="AA57" s="32" t="s">
        <v>143</v>
      </c>
      <c r="AB57" s="32"/>
      <c r="AC57" s="7"/>
      <c r="AD57" s="20">
        <v>50</v>
      </c>
      <c r="AE57" s="21" t="s">
        <v>316</v>
      </c>
      <c r="AF57" s="26" t="s">
        <v>317</v>
      </c>
      <c r="AG57" s="26" t="s">
        <v>318</v>
      </c>
      <c r="AH57" s="26" t="s">
        <v>319</v>
      </c>
      <c r="AI57" s="26">
        <v>1</v>
      </c>
      <c r="AJ57" s="26" t="s">
        <v>271</v>
      </c>
      <c r="AK57" s="26">
        <v>2</v>
      </c>
      <c r="AL57" s="38" t="s">
        <v>120</v>
      </c>
      <c r="AM57" s="54">
        <v>800</v>
      </c>
      <c r="AN57" s="55">
        <f>AI57*AK57*AM57</f>
        <v>1600</v>
      </c>
      <c r="AO57" s="56">
        <f>AN57-X87</f>
        <v>0</v>
      </c>
      <c r="AP57" s="21"/>
      <c r="AQ57" s="53"/>
      <c r="AR57" s="53"/>
    </row>
    <row r="58" spans="1:44">
      <c r="A58" s="20">
        <v>51</v>
      </c>
      <c r="B58" s="21" t="s">
        <v>255</v>
      </c>
      <c r="C58" s="26" t="s">
        <v>152</v>
      </c>
      <c r="D58" s="26" t="s">
        <v>153</v>
      </c>
      <c r="E58" s="40" t="s">
        <v>154</v>
      </c>
      <c r="F58" s="26">
        <v>2</v>
      </c>
      <c r="G58" s="26" t="s">
        <v>155</v>
      </c>
      <c r="H58" s="26">
        <v>3</v>
      </c>
      <c r="I58" s="26" t="s">
        <v>234</v>
      </c>
      <c r="J58" s="41">
        <v>39.8396226415094</v>
      </c>
      <c r="K58" s="41">
        <f t="shared" si="15"/>
        <v>239.037735849056</v>
      </c>
      <c r="L58" s="26" t="s">
        <v>310</v>
      </c>
      <c r="M58" s="7"/>
      <c r="N58" s="20">
        <v>51</v>
      </c>
      <c r="O58" s="21"/>
      <c r="P58" s="26"/>
      <c r="Q58" s="26"/>
      <c r="R58" s="26"/>
      <c r="S58" s="26"/>
      <c r="T58" s="26"/>
      <c r="U58" s="26"/>
      <c r="V58" s="26"/>
      <c r="W58" s="30"/>
      <c r="X58" s="30"/>
      <c r="Y58" s="31"/>
      <c r="Z58" s="32"/>
      <c r="AA58" s="32"/>
      <c r="AB58" s="32"/>
      <c r="AC58" s="7"/>
      <c r="AD58" s="20">
        <v>51</v>
      </c>
      <c r="AE58" s="21"/>
      <c r="AF58" s="9"/>
      <c r="AG58" s="9"/>
      <c r="AH58" s="9"/>
      <c r="AI58" s="9"/>
      <c r="AJ58" s="9"/>
      <c r="AK58" s="9"/>
      <c r="AL58" s="9"/>
      <c r="AM58" s="9"/>
      <c r="AN58" s="53"/>
      <c r="AO58" s="20"/>
      <c r="AP58" s="21"/>
      <c r="AQ58" s="53"/>
      <c r="AR58" s="53"/>
    </row>
    <row r="59" spans="1:44">
      <c r="A59" s="20">
        <v>52</v>
      </c>
      <c r="B59" s="21" t="s">
        <v>259</v>
      </c>
      <c r="C59" s="26" t="s">
        <v>145</v>
      </c>
      <c r="D59" s="26" t="s">
        <v>133</v>
      </c>
      <c r="E59" s="40" t="s">
        <v>146</v>
      </c>
      <c r="F59" s="50">
        <v>2</v>
      </c>
      <c r="G59" s="50" t="s">
        <v>135</v>
      </c>
      <c r="H59" s="50">
        <v>3</v>
      </c>
      <c r="I59" s="50" t="s">
        <v>234</v>
      </c>
      <c r="J59" s="41">
        <v>80</v>
      </c>
      <c r="K59" s="41">
        <f t="shared" si="15"/>
        <v>480</v>
      </c>
      <c r="L59" s="26" t="s">
        <v>310</v>
      </c>
      <c r="M59" s="7"/>
      <c r="N59" s="20">
        <v>52</v>
      </c>
      <c r="O59" s="21" t="s">
        <v>220</v>
      </c>
      <c r="P59" s="26" t="s">
        <v>221</v>
      </c>
      <c r="Q59" s="26" t="s">
        <v>195</v>
      </c>
      <c r="R59" s="26" t="s">
        <v>222</v>
      </c>
      <c r="S59" s="26">
        <v>1.2</v>
      </c>
      <c r="T59" s="26" t="s">
        <v>184</v>
      </c>
      <c r="U59" s="26">
        <v>1</v>
      </c>
      <c r="V59" s="26" t="s">
        <v>120</v>
      </c>
      <c r="W59" s="30">
        <v>750</v>
      </c>
      <c r="X59" s="30">
        <f t="shared" si="18"/>
        <v>900</v>
      </c>
      <c r="Y59" s="31">
        <f>X59-K49</f>
        <v>0</v>
      </c>
      <c r="Z59" s="32"/>
      <c r="AA59" s="32"/>
      <c r="AB59" s="32" t="s">
        <v>320</v>
      </c>
      <c r="AC59" s="7"/>
      <c r="AD59" s="20">
        <v>52</v>
      </c>
      <c r="AE59" s="27" t="s">
        <v>321</v>
      </c>
      <c r="AF59" s="28" t="s">
        <v>115</v>
      </c>
      <c r="AG59" s="28" t="s">
        <v>115</v>
      </c>
      <c r="AH59" s="28" t="s">
        <v>115</v>
      </c>
      <c r="AI59" s="28" t="s">
        <v>115</v>
      </c>
      <c r="AJ59" s="28" t="s">
        <v>115</v>
      </c>
      <c r="AK59" s="28" t="s">
        <v>115</v>
      </c>
      <c r="AL59" s="28" t="s">
        <v>115</v>
      </c>
      <c r="AM59" s="28" t="s">
        <v>115</v>
      </c>
      <c r="AN59" s="29">
        <f>SUM(AN57:AN57)</f>
        <v>1600</v>
      </c>
      <c r="AO59" s="28">
        <f>SUM(AO57:AO57)</f>
        <v>0</v>
      </c>
      <c r="AP59" s="28"/>
      <c r="AQ59" s="28"/>
      <c r="AR59" s="28"/>
    </row>
    <row r="60" ht="28" spans="1:44">
      <c r="A60" s="20">
        <v>53</v>
      </c>
      <c r="B60" s="21" t="s">
        <v>261</v>
      </c>
      <c r="C60" s="26" t="s">
        <v>262</v>
      </c>
      <c r="D60" s="26" t="s">
        <v>133</v>
      </c>
      <c r="E60" s="26" t="s">
        <v>263</v>
      </c>
      <c r="F60" s="26">
        <v>5</v>
      </c>
      <c r="G60" s="26" t="s">
        <v>135</v>
      </c>
      <c r="H60" s="26">
        <v>1</v>
      </c>
      <c r="I60" s="26" t="s">
        <v>120</v>
      </c>
      <c r="J60" s="41">
        <v>47.17</v>
      </c>
      <c r="K60" s="41">
        <f t="shared" ref="K60:K67" si="19">F60*H60*J60</f>
        <v>235.85</v>
      </c>
      <c r="L60" s="26" t="s">
        <v>310</v>
      </c>
      <c r="M60" s="7"/>
      <c r="N60" s="20">
        <v>53</v>
      </c>
      <c r="O60" s="21" t="s">
        <v>283</v>
      </c>
      <c r="P60" s="26" t="s">
        <v>147</v>
      </c>
      <c r="Q60" s="26" t="s">
        <v>138</v>
      </c>
      <c r="R60" s="26" t="s">
        <v>148</v>
      </c>
      <c r="S60" s="26">
        <v>0</v>
      </c>
      <c r="T60" s="26" t="s">
        <v>135</v>
      </c>
      <c r="U60" s="26">
        <v>1</v>
      </c>
      <c r="V60" s="26" t="s">
        <v>120</v>
      </c>
      <c r="W60" s="30">
        <v>295</v>
      </c>
      <c r="X60" s="41">
        <f t="shared" ref="X60:X70" si="20">S60*U60*W60</f>
        <v>0</v>
      </c>
      <c r="Y60" s="31">
        <f>X60-K50</f>
        <v>-2950</v>
      </c>
      <c r="Z60" s="32" t="s">
        <v>90</v>
      </c>
      <c r="AA60" s="32" t="s">
        <v>143</v>
      </c>
      <c r="AB60" s="32"/>
      <c r="AC60" s="7"/>
      <c r="AD60" s="20">
        <v>53</v>
      </c>
      <c r="AE60" s="21" t="s">
        <v>322</v>
      </c>
      <c r="AF60" s="26" t="s">
        <v>323</v>
      </c>
      <c r="AG60" s="26" t="s">
        <v>324</v>
      </c>
      <c r="AH60" s="40" t="s">
        <v>325</v>
      </c>
      <c r="AI60" s="26">
        <v>6</v>
      </c>
      <c r="AJ60" s="26" t="s">
        <v>309</v>
      </c>
      <c r="AK60" s="26">
        <v>2</v>
      </c>
      <c r="AL60" s="38" t="s">
        <v>120</v>
      </c>
      <c r="AM60" s="54">
        <v>295</v>
      </c>
      <c r="AN60" s="55">
        <f t="shared" ref="AN60:AN68" si="21">AI60*AK60*AM60</f>
        <v>3540</v>
      </c>
      <c r="AO60" s="56">
        <f t="shared" ref="AO60:AO65" si="22">AN60-X94</f>
        <v>0</v>
      </c>
      <c r="AP60" s="21"/>
      <c r="AQ60" s="53"/>
      <c r="AR60" s="53"/>
    </row>
    <row r="61" ht="28" spans="1:44">
      <c r="A61" s="20">
        <v>54</v>
      </c>
      <c r="B61" s="21" t="s">
        <v>289</v>
      </c>
      <c r="C61" s="26"/>
      <c r="D61" s="26"/>
      <c r="E61" s="26" t="s">
        <v>290</v>
      </c>
      <c r="F61" s="26">
        <v>100</v>
      </c>
      <c r="G61" s="26" t="s">
        <v>234</v>
      </c>
      <c r="H61" s="26">
        <v>2</v>
      </c>
      <c r="I61" s="26" t="s">
        <v>120</v>
      </c>
      <c r="J61" s="41">
        <v>1.5</v>
      </c>
      <c r="K61" s="41">
        <f t="shared" si="19"/>
        <v>300</v>
      </c>
      <c r="L61" s="26" t="s">
        <v>310</v>
      </c>
      <c r="M61" s="7"/>
      <c r="N61" s="20">
        <v>54</v>
      </c>
      <c r="O61" s="21" t="s">
        <v>287</v>
      </c>
      <c r="P61" s="26" t="s">
        <v>157</v>
      </c>
      <c r="Q61" s="26" t="s">
        <v>133</v>
      </c>
      <c r="R61" s="26" t="s">
        <v>158</v>
      </c>
      <c r="S61" s="26">
        <v>0</v>
      </c>
      <c r="T61" s="26" t="s">
        <v>135</v>
      </c>
      <c r="U61" s="26">
        <v>1</v>
      </c>
      <c r="V61" s="26" t="s">
        <v>120</v>
      </c>
      <c r="W61" s="30">
        <v>60.377358490566</v>
      </c>
      <c r="X61" s="41">
        <f t="shared" si="20"/>
        <v>0</v>
      </c>
      <c r="Y61" s="31">
        <f>X61-K51</f>
        <v>-603.77358490566</v>
      </c>
      <c r="Z61" s="32" t="s">
        <v>90</v>
      </c>
      <c r="AA61" s="32" t="s">
        <v>143</v>
      </c>
      <c r="AB61" s="32"/>
      <c r="AC61" s="7"/>
      <c r="AD61" s="20">
        <v>54</v>
      </c>
      <c r="AE61" s="21" t="s">
        <v>326</v>
      </c>
      <c r="AF61" s="26" t="s">
        <v>323</v>
      </c>
      <c r="AG61" s="26" t="s">
        <v>324</v>
      </c>
      <c r="AH61" s="40" t="s">
        <v>325</v>
      </c>
      <c r="AI61" s="26">
        <v>2</v>
      </c>
      <c r="AJ61" s="26" t="s">
        <v>309</v>
      </c>
      <c r="AK61" s="26">
        <v>1</v>
      </c>
      <c r="AL61" s="38" t="s">
        <v>120</v>
      </c>
      <c r="AM61" s="54">
        <v>295</v>
      </c>
      <c r="AN61" s="55">
        <f t="shared" si="21"/>
        <v>590</v>
      </c>
      <c r="AO61" s="56">
        <f t="shared" si="22"/>
        <v>-1180</v>
      </c>
      <c r="AP61" s="21" t="s">
        <v>92</v>
      </c>
      <c r="AQ61" s="53"/>
      <c r="AR61" s="53"/>
    </row>
    <row r="62" ht="88" spans="1:44">
      <c r="A62" s="20">
        <v>55</v>
      </c>
      <c r="B62" s="21" t="s">
        <v>295</v>
      </c>
      <c r="C62" s="26"/>
      <c r="D62" s="26"/>
      <c r="E62" s="26" t="s">
        <v>296</v>
      </c>
      <c r="F62" s="50">
        <v>1000</v>
      </c>
      <c r="G62" s="50" t="s">
        <v>297</v>
      </c>
      <c r="H62" s="50">
        <v>2</v>
      </c>
      <c r="I62" s="50" t="s">
        <v>120</v>
      </c>
      <c r="J62" s="41">
        <v>1.5</v>
      </c>
      <c r="K62" s="41">
        <f t="shared" si="19"/>
        <v>3000</v>
      </c>
      <c r="L62" s="26" t="s">
        <v>310</v>
      </c>
      <c r="M62" s="7"/>
      <c r="N62" s="20">
        <v>55</v>
      </c>
      <c r="O62" s="21" t="s">
        <v>224</v>
      </c>
      <c r="P62" s="26" t="s">
        <v>137</v>
      </c>
      <c r="Q62" s="26" t="s">
        <v>138</v>
      </c>
      <c r="R62" s="26" t="s">
        <v>139</v>
      </c>
      <c r="S62" s="26">
        <v>11.04</v>
      </c>
      <c r="T62" s="26" t="s">
        <v>135</v>
      </c>
      <c r="U62" s="26">
        <v>1</v>
      </c>
      <c r="V62" s="38" t="s">
        <v>120</v>
      </c>
      <c r="W62" s="30">
        <v>235.849056603774</v>
      </c>
      <c r="X62" s="30">
        <f t="shared" si="20"/>
        <v>2603.77358490566</v>
      </c>
      <c r="Y62" s="31">
        <f>X62-0</f>
        <v>2603.77358490566</v>
      </c>
      <c r="Z62" s="32" t="s">
        <v>89</v>
      </c>
      <c r="AA62" s="32" t="s">
        <v>143</v>
      </c>
      <c r="AB62" s="33" t="s">
        <v>327</v>
      </c>
      <c r="AC62" s="7"/>
      <c r="AD62" s="20">
        <v>55</v>
      </c>
      <c r="AE62" s="21" t="s">
        <v>328</v>
      </c>
      <c r="AF62" s="26" t="s">
        <v>329</v>
      </c>
      <c r="AG62" s="26" t="s">
        <v>324</v>
      </c>
      <c r="AH62" s="26" t="s">
        <v>330</v>
      </c>
      <c r="AI62" s="26">
        <v>1</v>
      </c>
      <c r="AJ62" s="26" t="s">
        <v>309</v>
      </c>
      <c r="AK62" s="26">
        <v>2</v>
      </c>
      <c r="AL62" s="38" t="s">
        <v>120</v>
      </c>
      <c r="AM62" s="54">
        <v>250</v>
      </c>
      <c r="AN62" s="55">
        <f t="shared" si="21"/>
        <v>500</v>
      </c>
      <c r="AO62" s="56">
        <f t="shared" si="22"/>
        <v>0</v>
      </c>
      <c r="AP62" s="21"/>
      <c r="AQ62" s="53"/>
      <c r="AR62" s="53"/>
    </row>
    <row r="63" spans="1:44">
      <c r="A63" s="20">
        <v>56</v>
      </c>
      <c r="B63" s="21" t="s">
        <v>301</v>
      </c>
      <c r="C63" s="26"/>
      <c r="D63" s="26"/>
      <c r="E63" s="26" t="s">
        <v>302</v>
      </c>
      <c r="F63" s="26">
        <v>1000</v>
      </c>
      <c r="G63" s="26" t="s">
        <v>297</v>
      </c>
      <c r="H63" s="26">
        <v>2</v>
      </c>
      <c r="I63" s="26" t="s">
        <v>120</v>
      </c>
      <c r="J63" s="41">
        <v>1.5</v>
      </c>
      <c r="K63" s="41">
        <f t="shared" si="19"/>
        <v>3000</v>
      </c>
      <c r="L63" s="26" t="s">
        <v>310</v>
      </c>
      <c r="M63" s="7"/>
      <c r="N63" s="20">
        <v>56</v>
      </c>
      <c r="O63" s="21" t="s">
        <v>228</v>
      </c>
      <c r="P63" s="26" t="s">
        <v>147</v>
      </c>
      <c r="Q63" s="26" t="s">
        <v>138</v>
      </c>
      <c r="R63" s="26" t="s">
        <v>148</v>
      </c>
      <c r="S63" s="26">
        <v>0</v>
      </c>
      <c r="T63" s="26" t="s">
        <v>135</v>
      </c>
      <c r="U63" s="26">
        <v>1</v>
      </c>
      <c r="V63" s="26" t="s">
        <v>120</v>
      </c>
      <c r="W63" s="30">
        <v>295</v>
      </c>
      <c r="X63" s="30">
        <f t="shared" si="20"/>
        <v>0</v>
      </c>
      <c r="Y63" s="31">
        <f>X63-K53</f>
        <v>-3522.3</v>
      </c>
      <c r="Z63" s="32" t="s">
        <v>90</v>
      </c>
      <c r="AA63" s="32" t="s">
        <v>143</v>
      </c>
      <c r="AB63" s="32"/>
      <c r="AC63" s="7"/>
      <c r="AD63" s="20">
        <v>56</v>
      </c>
      <c r="AE63" s="21" t="s">
        <v>331</v>
      </c>
      <c r="AF63" s="26" t="s">
        <v>332</v>
      </c>
      <c r="AG63" s="26" t="s">
        <v>324</v>
      </c>
      <c r="AH63" s="26" t="s">
        <v>333</v>
      </c>
      <c r="AI63" s="26">
        <v>4</v>
      </c>
      <c r="AJ63" s="26" t="s">
        <v>309</v>
      </c>
      <c r="AK63" s="26">
        <v>2</v>
      </c>
      <c r="AL63" s="38" t="s">
        <v>120</v>
      </c>
      <c r="AM63" s="54">
        <v>300</v>
      </c>
      <c r="AN63" s="55">
        <f t="shared" si="21"/>
        <v>2400</v>
      </c>
      <c r="AO63" s="56">
        <f t="shared" si="22"/>
        <v>0</v>
      </c>
      <c r="AP63" s="21"/>
      <c r="AQ63" s="53"/>
      <c r="AR63" s="53"/>
    </row>
    <row r="64" spans="1:44">
      <c r="A64" s="20">
        <v>57</v>
      </c>
      <c r="B64" s="21" t="s">
        <v>305</v>
      </c>
      <c r="C64" s="26"/>
      <c r="D64" s="26"/>
      <c r="E64" s="26" t="s">
        <v>334</v>
      </c>
      <c r="F64" s="26">
        <v>40</v>
      </c>
      <c r="G64" s="26" t="s">
        <v>309</v>
      </c>
      <c r="H64" s="26">
        <v>2</v>
      </c>
      <c r="I64" s="26" t="s">
        <v>120</v>
      </c>
      <c r="J64" s="41">
        <v>28</v>
      </c>
      <c r="K64" s="41">
        <f t="shared" si="19"/>
        <v>2240</v>
      </c>
      <c r="L64" s="26" t="s">
        <v>335</v>
      </c>
      <c r="M64" s="7"/>
      <c r="N64" s="20">
        <v>57</v>
      </c>
      <c r="O64" s="21" t="s">
        <v>303</v>
      </c>
      <c r="P64" s="26" t="s">
        <v>157</v>
      </c>
      <c r="Q64" s="26" t="s">
        <v>133</v>
      </c>
      <c r="R64" s="26" t="s">
        <v>158</v>
      </c>
      <c r="S64" s="26">
        <v>0</v>
      </c>
      <c r="T64" s="26" t="s">
        <v>135</v>
      </c>
      <c r="U64" s="26">
        <v>1</v>
      </c>
      <c r="V64" s="26" t="s">
        <v>120</v>
      </c>
      <c r="W64" s="30">
        <v>60.377358490566</v>
      </c>
      <c r="X64" s="30">
        <f t="shared" si="20"/>
        <v>0</v>
      </c>
      <c r="Y64" s="31">
        <f>X64-K54</f>
        <v>-720.905660377358</v>
      </c>
      <c r="Z64" s="32" t="s">
        <v>90</v>
      </c>
      <c r="AA64" s="32" t="s">
        <v>143</v>
      </c>
      <c r="AB64" s="32"/>
      <c r="AC64" s="7"/>
      <c r="AD64" s="20">
        <v>57</v>
      </c>
      <c r="AE64" s="21" t="s">
        <v>336</v>
      </c>
      <c r="AF64" s="26" t="s">
        <v>337</v>
      </c>
      <c r="AG64" s="26" t="s">
        <v>324</v>
      </c>
      <c r="AH64" s="26" t="s">
        <v>338</v>
      </c>
      <c r="AI64" s="26">
        <v>1</v>
      </c>
      <c r="AJ64" s="26" t="s">
        <v>309</v>
      </c>
      <c r="AK64" s="26">
        <v>2</v>
      </c>
      <c r="AL64" s="38" t="s">
        <v>120</v>
      </c>
      <c r="AM64" s="54">
        <v>1650</v>
      </c>
      <c r="AN64" s="55">
        <f t="shared" si="21"/>
        <v>3300</v>
      </c>
      <c r="AO64" s="56">
        <f t="shared" si="22"/>
        <v>0</v>
      </c>
      <c r="AP64" s="21"/>
      <c r="AQ64" s="53"/>
      <c r="AR64" s="53"/>
    </row>
    <row r="65" spans="1:44">
      <c r="A65" s="20">
        <v>58</v>
      </c>
      <c r="B65" s="21" t="s">
        <v>267</v>
      </c>
      <c r="C65" s="26" t="s">
        <v>268</v>
      </c>
      <c r="D65" s="26" t="s">
        <v>269</v>
      </c>
      <c r="E65" s="26" t="s">
        <v>270</v>
      </c>
      <c r="F65" s="50">
        <v>6</v>
      </c>
      <c r="G65" s="50" t="s">
        <v>271</v>
      </c>
      <c r="H65" s="50">
        <v>2</v>
      </c>
      <c r="I65" s="50" t="s">
        <v>120</v>
      </c>
      <c r="J65" s="41">
        <v>200</v>
      </c>
      <c r="K65" s="41">
        <f t="shared" si="19"/>
        <v>2400</v>
      </c>
      <c r="L65" s="26" t="s">
        <v>339</v>
      </c>
      <c r="M65" s="7"/>
      <c r="N65" s="20">
        <v>58</v>
      </c>
      <c r="O65" s="21" t="s">
        <v>228</v>
      </c>
      <c r="P65" s="26" t="s">
        <v>137</v>
      </c>
      <c r="Q65" s="26" t="s">
        <v>138</v>
      </c>
      <c r="R65" s="26" t="s">
        <v>139</v>
      </c>
      <c r="S65" s="26">
        <v>5.96</v>
      </c>
      <c r="T65" s="26" t="s">
        <v>135</v>
      </c>
      <c r="U65" s="26">
        <v>1</v>
      </c>
      <c r="V65" s="38" t="s">
        <v>120</v>
      </c>
      <c r="W65" s="30">
        <v>235.849056603774</v>
      </c>
      <c r="X65" s="30">
        <f t="shared" si="20"/>
        <v>1405.66037735849</v>
      </c>
      <c r="Y65" s="31">
        <f>X65-0</f>
        <v>1405.66037735849</v>
      </c>
      <c r="Z65" s="32" t="s">
        <v>89</v>
      </c>
      <c r="AA65" s="32" t="s">
        <v>143</v>
      </c>
      <c r="AB65" s="32" t="s">
        <v>340</v>
      </c>
      <c r="AC65" s="7"/>
      <c r="AD65" s="20">
        <v>58</v>
      </c>
      <c r="AE65" s="21" t="s">
        <v>341</v>
      </c>
      <c r="AF65" s="26" t="s">
        <v>342</v>
      </c>
      <c r="AG65" s="26" t="s">
        <v>324</v>
      </c>
      <c r="AH65" s="26" t="s">
        <v>343</v>
      </c>
      <c r="AI65" s="26">
        <v>2</v>
      </c>
      <c r="AJ65" s="26" t="s">
        <v>344</v>
      </c>
      <c r="AK65" s="26">
        <v>1</v>
      </c>
      <c r="AL65" s="38" t="s">
        <v>345</v>
      </c>
      <c r="AM65" s="54">
        <v>531.605</v>
      </c>
      <c r="AN65" s="55">
        <f t="shared" si="21"/>
        <v>1063.21</v>
      </c>
      <c r="AO65" s="56">
        <f t="shared" si="22"/>
        <v>0</v>
      </c>
      <c r="AP65" s="21"/>
      <c r="AQ65" s="53"/>
      <c r="AR65" s="53" t="s">
        <v>346</v>
      </c>
    </row>
    <row r="66" spans="1:44">
      <c r="A66" s="20">
        <v>59</v>
      </c>
      <c r="B66" s="21" t="s">
        <v>274</v>
      </c>
      <c r="C66" s="26" t="s">
        <v>275</v>
      </c>
      <c r="D66" s="26" t="s">
        <v>269</v>
      </c>
      <c r="E66" s="26" t="s">
        <v>276</v>
      </c>
      <c r="F66" s="26">
        <v>3</v>
      </c>
      <c r="G66" s="26" t="s">
        <v>271</v>
      </c>
      <c r="H66" s="26">
        <v>2</v>
      </c>
      <c r="I66" s="26" t="s">
        <v>120</v>
      </c>
      <c r="J66" s="41">
        <v>260</v>
      </c>
      <c r="K66" s="41">
        <f t="shared" si="19"/>
        <v>1560</v>
      </c>
      <c r="L66" s="26" t="s">
        <v>339</v>
      </c>
      <c r="M66" s="7"/>
      <c r="N66" s="20">
        <v>59</v>
      </c>
      <c r="O66" s="21" t="s">
        <v>231</v>
      </c>
      <c r="P66" s="26" t="s">
        <v>232</v>
      </c>
      <c r="Q66" s="26" t="s">
        <v>153</v>
      </c>
      <c r="R66" s="26" t="s">
        <v>233</v>
      </c>
      <c r="S66" s="26">
        <v>1</v>
      </c>
      <c r="T66" s="26" t="s">
        <v>135</v>
      </c>
      <c r="U66" s="26">
        <v>1</v>
      </c>
      <c r="V66" s="26" t="s">
        <v>234</v>
      </c>
      <c r="W66" s="30">
        <v>101.885</v>
      </c>
      <c r="X66" s="41">
        <f t="shared" si="20"/>
        <v>101.885</v>
      </c>
      <c r="Y66" s="31">
        <f>X66-K55</f>
        <v>-101.885</v>
      </c>
      <c r="Z66" s="32" t="s">
        <v>92</v>
      </c>
      <c r="AA66" s="32" t="s">
        <v>143</v>
      </c>
      <c r="AB66" s="32"/>
      <c r="AC66" s="7"/>
      <c r="AD66" s="20">
        <v>59</v>
      </c>
      <c r="AE66" s="21" t="s">
        <v>341</v>
      </c>
      <c r="AF66" s="26" t="s">
        <v>347</v>
      </c>
      <c r="AG66" s="26" t="s">
        <v>324</v>
      </c>
      <c r="AH66" s="26" t="s">
        <v>348</v>
      </c>
      <c r="AI66" s="26">
        <v>1</v>
      </c>
      <c r="AJ66" s="26" t="s">
        <v>344</v>
      </c>
      <c r="AK66" s="26">
        <v>2</v>
      </c>
      <c r="AL66" s="38" t="s">
        <v>345</v>
      </c>
      <c r="AM66" s="54">
        <v>240</v>
      </c>
      <c r="AN66" s="55">
        <f t="shared" si="21"/>
        <v>480</v>
      </c>
      <c r="AO66" s="30">
        <f>AN66-0</f>
        <v>480</v>
      </c>
      <c r="AP66" s="21" t="s">
        <v>89</v>
      </c>
      <c r="AQ66" s="53"/>
      <c r="AR66" s="53" t="s">
        <v>346</v>
      </c>
    </row>
    <row r="67" spans="1:44">
      <c r="A67" s="20">
        <v>60</v>
      </c>
      <c r="B67" s="21" t="s">
        <v>280</v>
      </c>
      <c r="C67" s="26" t="s">
        <v>281</v>
      </c>
      <c r="D67" s="26" t="s">
        <v>269</v>
      </c>
      <c r="E67" s="26" t="s">
        <v>282</v>
      </c>
      <c r="F67" s="26">
        <v>5</v>
      </c>
      <c r="G67" s="26" t="s">
        <v>271</v>
      </c>
      <c r="H67" s="26">
        <v>2</v>
      </c>
      <c r="I67" s="26" t="s">
        <v>120</v>
      </c>
      <c r="J67" s="41">
        <v>280</v>
      </c>
      <c r="K67" s="41">
        <f t="shared" si="19"/>
        <v>2800</v>
      </c>
      <c r="L67" s="26" t="s">
        <v>339</v>
      </c>
      <c r="M67" s="7"/>
      <c r="N67" s="20">
        <v>60</v>
      </c>
      <c r="O67" s="21" t="s">
        <v>237</v>
      </c>
      <c r="P67" s="26" t="s">
        <v>152</v>
      </c>
      <c r="Q67" s="26" t="s">
        <v>153</v>
      </c>
      <c r="R67" s="26" t="s">
        <v>154</v>
      </c>
      <c r="S67" s="26">
        <v>3.32</v>
      </c>
      <c r="T67" s="26" t="s">
        <v>155</v>
      </c>
      <c r="U67" s="26">
        <v>1</v>
      </c>
      <c r="V67" s="26" t="s">
        <v>120</v>
      </c>
      <c r="W67" s="30">
        <v>39.8396226415094</v>
      </c>
      <c r="X67" s="41">
        <f t="shared" si="20"/>
        <v>132.267547169811</v>
      </c>
      <c r="Y67" s="31">
        <f>X67-0</f>
        <v>132.267547169811</v>
      </c>
      <c r="Z67" s="32" t="s">
        <v>89</v>
      </c>
      <c r="AA67" s="32" t="s">
        <v>143</v>
      </c>
      <c r="AB67" s="32" t="s">
        <v>349</v>
      </c>
      <c r="AC67" s="7"/>
      <c r="AD67" s="20">
        <v>60</v>
      </c>
      <c r="AE67" s="21" t="s">
        <v>350</v>
      </c>
      <c r="AF67" s="26" t="s">
        <v>347</v>
      </c>
      <c r="AG67" s="26" t="s">
        <v>324</v>
      </c>
      <c r="AH67" s="26" t="s">
        <v>348</v>
      </c>
      <c r="AI67" s="26">
        <v>1</v>
      </c>
      <c r="AJ67" s="26" t="s">
        <v>344</v>
      </c>
      <c r="AK67" s="26">
        <v>1</v>
      </c>
      <c r="AL67" s="38" t="s">
        <v>345</v>
      </c>
      <c r="AM67" s="54">
        <v>240</v>
      </c>
      <c r="AN67" s="55">
        <f t="shared" si="21"/>
        <v>240</v>
      </c>
      <c r="AO67" s="30">
        <f>AN67-0</f>
        <v>240</v>
      </c>
      <c r="AP67" s="21" t="s">
        <v>89</v>
      </c>
      <c r="AQ67" s="53"/>
      <c r="AR67" s="53" t="s">
        <v>351</v>
      </c>
    </row>
    <row r="68" spans="1:44">
      <c r="A68" s="20"/>
      <c r="B68" s="21"/>
      <c r="C68" s="26"/>
      <c r="D68" s="26"/>
      <c r="E68" s="26"/>
      <c r="F68" s="26"/>
      <c r="G68" s="26"/>
      <c r="H68" s="26"/>
      <c r="I68" s="26"/>
      <c r="J68" s="41"/>
      <c r="K68" s="41"/>
      <c r="L68" s="26"/>
      <c r="M68" s="7"/>
      <c r="N68" s="20"/>
      <c r="O68" s="21" t="s">
        <v>237</v>
      </c>
      <c r="P68" s="26" t="s">
        <v>313</v>
      </c>
      <c r="Q68" s="26" t="s">
        <v>138</v>
      </c>
      <c r="R68" s="26" t="s">
        <v>314</v>
      </c>
      <c r="S68" s="26">
        <v>0</v>
      </c>
      <c r="T68" s="26" t="s">
        <v>135</v>
      </c>
      <c r="U68" s="26">
        <v>1</v>
      </c>
      <c r="V68" s="26" t="s">
        <v>120</v>
      </c>
      <c r="W68" s="30">
        <v>339.62</v>
      </c>
      <c r="X68" s="41">
        <f t="shared" si="20"/>
        <v>0</v>
      </c>
      <c r="Y68" s="31">
        <f>X68-K56</f>
        <v>-679.24</v>
      </c>
      <c r="Z68" s="32" t="s">
        <v>90</v>
      </c>
      <c r="AA68" s="32" t="s">
        <v>143</v>
      </c>
      <c r="AB68" s="32"/>
      <c r="AC68" s="7"/>
      <c r="AD68" s="20">
        <v>61</v>
      </c>
      <c r="AE68" s="21" t="s">
        <v>350</v>
      </c>
      <c r="AF68" s="26"/>
      <c r="AG68" s="26"/>
      <c r="AH68" s="26" t="s">
        <v>352</v>
      </c>
      <c r="AI68" s="26">
        <v>1</v>
      </c>
      <c r="AJ68" s="26" t="s">
        <v>344</v>
      </c>
      <c r="AK68" s="26">
        <v>2</v>
      </c>
      <c r="AL68" s="38" t="s">
        <v>345</v>
      </c>
      <c r="AM68" s="54">
        <v>220</v>
      </c>
      <c r="AN68" s="55">
        <f t="shared" si="21"/>
        <v>440</v>
      </c>
      <c r="AO68" s="30">
        <f>AN68-0</f>
        <v>440</v>
      </c>
      <c r="AP68" s="21" t="s">
        <v>89</v>
      </c>
      <c r="AQ68" s="53"/>
      <c r="AR68" s="53" t="s">
        <v>351</v>
      </c>
    </row>
    <row r="69" spans="1:44">
      <c r="A69" s="20">
        <v>61</v>
      </c>
      <c r="B69" s="21" t="s">
        <v>286</v>
      </c>
      <c r="C69" s="26" t="s">
        <v>268</v>
      </c>
      <c r="D69" s="26" t="s">
        <v>269</v>
      </c>
      <c r="E69" s="26" t="s">
        <v>270</v>
      </c>
      <c r="F69" s="26">
        <v>6</v>
      </c>
      <c r="G69" s="26" t="s">
        <v>271</v>
      </c>
      <c r="H69" s="26">
        <v>1</v>
      </c>
      <c r="I69" s="26" t="s">
        <v>120</v>
      </c>
      <c r="J69" s="41">
        <v>200</v>
      </c>
      <c r="K69" s="41">
        <f>F69*H69*J69</f>
        <v>1200</v>
      </c>
      <c r="L69" s="26"/>
      <c r="M69" s="7"/>
      <c r="N69" s="20">
        <v>61</v>
      </c>
      <c r="O69" s="21" t="s">
        <v>242</v>
      </c>
      <c r="P69" s="26" t="s">
        <v>232</v>
      </c>
      <c r="Q69" s="26" t="s">
        <v>153</v>
      </c>
      <c r="R69" s="26" t="s">
        <v>233</v>
      </c>
      <c r="S69" s="26">
        <v>1</v>
      </c>
      <c r="T69" s="26" t="s">
        <v>135</v>
      </c>
      <c r="U69" s="26">
        <v>4</v>
      </c>
      <c r="V69" s="26" t="s">
        <v>234</v>
      </c>
      <c r="W69" s="30">
        <v>101.885</v>
      </c>
      <c r="X69" s="30">
        <f t="shared" si="20"/>
        <v>407.54</v>
      </c>
      <c r="Y69" s="31">
        <f>X69-K57</f>
        <v>-203.77</v>
      </c>
      <c r="Z69" s="32" t="s">
        <v>91</v>
      </c>
      <c r="AA69" s="32" t="s">
        <v>143</v>
      </c>
      <c r="AB69" s="32"/>
      <c r="AC69" s="7"/>
      <c r="AD69" s="20">
        <v>62</v>
      </c>
      <c r="AE69" s="21"/>
      <c r="AF69" s="26"/>
      <c r="AG69" s="26"/>
      <c r="AH69" s="26"/>
      <c r="AI69" s="26"/>
      <c r="AJ69" s="26"/>
      <c r="AK69" s="26"/>
      <c r="AL69" s="38"/>
      <c r="AM69" s="54"/>
      <c r="AN69" s="55"/>
      <c r="AO69" s="30"/>
      <c r="AP69" s="21"/>
      <c r="AQ69" s="53"/>
      <c r="AR69" s="53"/>
    </row>
    <row r="70" spans="1:44">
      <c r="A70" s="20">
        <v>62</v>
      </c>
      <c r="B70" s="21" t="s">
        <v>113</v>
      </c>
      <c r="C70" s="26"/>
      <c r="D70" s="26"/>
      <c r="E70" s="26"/>
      <c r="F70" s="26"/>
      <c r="G70" s="26"/>
      <c r="H70" s="26"/>
      <c r="I70" s="26"/>
      <c r="J70" s="41"/>
      <c r="K70" s="41"/>
      <c r="L70" s="26"/>
      <c r="M70" s="7"/>
      <c r="N70" s="20">
        <v>62</v>
      </c>
      <c r="O70" s="21" t="s">
        <v>249</v>
      </c>
      <c r="P70" s="26"/>
      <c r="Q70" s="26"/>
      <c r="R70" s="26" t="s">
        <v>250</v>
      </c>
      <c r="S70" s="26">
        <v>0.6</v>
      </c>
      <c r="T70" s="26" t="s">
        <v>251</v>
      </c>
      <c r="U70" s="26">
        <v>4</v>
      </c>
      <c r="V70" s="26" t="s">
        <v>251</v>
      </c>
      <c r="W70" s="30">
        <v>191</v>
      </c>
      <c r="X70" s="30">
        <f t="shared" si="20"/>
        <v>458.4</v>
      </c>
      <c r="Y70" s="31">
        <f>X70-0</f>
        <v>458.4</v>
      </c>
      <c r="Z70" s="32" t="s">
        <v>89</v>
      </c>
      <c r="AA70" s="32" t="s">
        <v>143</v>
      </c>
      <c r="AB70" s="32" t="s">
        <v>353</v>
      </c>
      <c r="AC70" s="7"/>
      <c r="AD70" s="20">
        <v>63</v>
      </c>
      <c r="AE70" s="21"/>
      <c r="AF70" s="26"/>
      <c r="AG70" s="26"/>
      <c r="AH70" s="26"/>
      <c r="AI70" s="26"/>
      <c r="AJ70" s="26"/>
      <c r="AK70" s="26"/>
      <c r="AL70" s="38"/>
      <c r="AM70" s="54"/>
      <c r="AN70" s="55"/>
      <c r="AO70" s="30"/>
      <c r="AP70" s="21"/>
      <c r="AQ70" s="53"/>
      <c r="AR70" s="53"/>
    </row>
    <row r="71" spans="1:44">
      <c r="A71" s="20"/>
      <c r="B71" s="34"/>
      <c r="C71" s="57"/>
      <c r="D71" s="57"/>
      <c r="E71" s="57"/>
      <c r="F71" s="57"/>
      <c r="G71" s="57"/>
      <c r="H71" s="57"/>
      <c r="I71" s="57"/>
      <c r="J71" s="57"/>
      <c r="K71" s="58"/>
      <c r="L71" s="57"/>
      <c r="M71" s="7"/>
      <c r="N71" s="20"/>
      <c r="O71" s="21" t="s">
        <v>255</v>
      </c>
      <c r="P71" s="26" t="s">
        <v>152</v>
      </c>
      <c r="Q71" s="26" t="s">
        <v>153</v>
      </c>
      <c r="R71" s="26" t="s">
        <v>154</v>
      </c>
      <c r="S71" s="26">
        <v>2</v>
      </c>
      <c r="T71" s="26" t="s">
        <v>155</v>
      </c>
      <c r="U71" s="26">
        <v>4</v>
      </c>
      <c r="V71" s="26" t="s">
        <v>234</v>
      </c>
      <c r="W71" s="30">
        <v>39.8396226415094</v>
      </c>
      <c r="X71" s="30">
        <f t="shared" ref="X71:X73" si="23">S71*U71*W71</f>
        <v>318.716981132075</v>
      </c>
      <c r="Y71" s="31">
        <f>X71-K58</f>
        <v>79.6792452830188</v>
      </c>
      <c r="Z71" s="32" t="s">
        <v>91</v>
      </c>
      <c r="AA71" s="32" t="s">
        <v>143</v>
      </c>
      <c r="AB71" s="32"/>
      <c r="AC71" s="7"/>
      <c r="AD71" s="20">
        <v>64</v>
      </c>
      <c r="AE71" s="27" t="s">
        <v>354</v>
      </c>
      <c r="AF71" s="28" t="s">
        <v>115</v>
      </c>
      <c r="AG71" s="28" t="s">
        <v>115</v>
      </c>
      <c r="AH71" s="28" t="s">
        <v>115</v>
      </c>
      <c r="AI71" s="28" t="s">
        <v>115</v>
      </c>
      <c r="AJ71" s="28" t="s">
        <v>115</v>
      </c>
      <c r="AK71" s="28" t="s">
        <v>115</v>
      </c>
      <c r="AL71" s="28" t="s">
        <v>115</v>
      </c>
      <c r="AM71" s="28" t="s">
        <v>115</v>
      </c>
      <c r="AN71" s="29">
        <f>SUM(AN60:AN70)</f>
        <v>12553.21</v>
      </c>
      <c r="AO71" s="28">
        <f>SUM(AO60:AO70)</f>
        <v>-20</v>
      </c>
      <c r="AP71" s="28"/>
      <c r="AQ71" s="28"/>
      <c r="AR71" s="28"/>
    </row>
    <row r="72" spans="1:44">
      <c r="A72" s="20">
        <v>63</v>
      </c>
      <c r="B72" s="34" t="s">
        <v>315</v>
      </c>
      <c r="C72" s="35" t="s">
        <v>115</v>
      </c>
      <c r="D72" s="35" t="s">
        <v>115</v>
      </c>
      <c r="E72" s="35" t="s">
        <v>115</v>
      </c>
      <c r="F72" s="35" t="s">
        <v>115</v>
      </c>
      <c r="G72" s="35" t="s">
        <v>115</v>
      </c>
      <c r="H72" s="35" t="s">
        <v>115</v>
      </c>
      <c r="I72" s="35" t="s">
        <v>115</v>
      </c>
      <c r="J72" s="35" t="s">
        <v>115</v>
      </c>
      <c r="K72" s="59">
        <f>SUM(K19:K70)</f>
        <v>102573.199150943</v>
      </c>
      <c r="L72" s="35"/>
      <c r="M72" s="7"/>
      <c r="N72" s="20">
        <v>63</v>
      </c>
      <c r="O72" s="21" t="s">
        <v>259</v>
      </c>
      <c r="P72" s="26" t="s">
        <v>145</v>
      </c>
      <c r="Q72" s="26" t="s">
        <v>133</v>
      </c>
      <c r="R72" s="26" t="s">
        <v>146</v>
      </c>
      <c r="S72" s="26">
        <v>0.9</v>
      </c>
      <c r="T72" s="26" t="s">
        <v>135</v>
      </c>
      <c r="U72" s="26">
        <v>4</v>
      </c>
      <c r="V72" s="26" t="s">
        <v>234</v>
      </c>
      <c r="W72" s="30">
        <v>80</v>
      </c>
      <c r="X72" s="30">
        <f t="shared" si="23"/>
        <v>288</v>
      </c>
      <c r="Y72" s="31">
        <f>X72-K59</f>
        <v>-192</v>
      </c>
      <c r="Z72" s="32" t="s">
        <v>92</v>
      </c>
      <c r="AA72" s="32" t="s">
        <v>143</v>
      </c>
      <c r="AB72" s="32"/>
      <c r="AC72" s="7"/>
      <c r="AD72" s="20">
        <v>65</v>
      </c>
      <c r="AE72" s="60" t="s">
        <v>355</v>
      </c>
      <c r="AF72" s="61"/>
      <c r="AG72" s="61"/>
      <c r="AH72" s="26" t="s">
        <v>356</v>
      </c>
      <c r="AI72" s="26">
        <v>200</v>
      </c>
      <c r="AJ72" s="26" t="s">
        <v>309</v>
      </c>
      <c r="AK72" s="26">
        <v>2</v>
      </c>
      <c r="AL72" s="26" t="s">
        <v>120</v>
      </c>
      <c r="AM72" s="62">
        <v>4</v>
      </c>
      <c r="AN72" s="63">
        <f>AI72*AK72*AM72</f>
        <v>1600</v>
      </c>
      <c r="AO72" s="64">
        <f t="shared" ref="AO72:AO79" si="24">AN72-X102</f>
        <v>0</v>
      </c>
      <c r="AP72" s="21"/>
      <c r="AQ72" s="65"/>
      <c r="AR72" s="65" t="s">
        <v>357</v>
      </c>
    </row>
    <row r="73" spans="1:44">
      <c r="A73" s="20">
        <v>64</v>
      </c>
      <c r="B73" s="21" t="s">
        <v>316</v>
      </c>
      <c r="C73" s="26" t="s">
        <v>317</v>
      </c>
      <c r="D73" s="26" t="s">
        <v>318</v>
      </c>
      <c r="E73" s="26" t="s">
        <v>319</v>
      </c>
      <c r="F73" s="26">
        <v>1</v>
      </c>
      <c r="G73" s="26" t="s">
        <v>271</v>
      </c>
      <c r="H73" s="26">
        <v>2</v>
      </c>
      <c r="I73" s="38" t="s">
        <v>120</v>
      </c>
      <c r="J73" s="54">
        <v>800</v>
      </c>
      <c r="K73" s="55">
        <f>F73*H73*J73</f>
        <v>1600</v>
      </c>
      <c r="L73" s="26"/>
      <c r="M73" s="7"/>
      <c r="N73" s="20">
        <v>64</v>
      </c>
      <c r="O73" s="21" t="s">
        <v>261</v>
      </c>
      <c r="P73" s="26" t="s">
        <v>262</v>
      </c>
      <c r="Q73" s="26" t="s">
        <v>133</v>
      </c>
      <c r="R73" s="26" t="s">
        <v>263</v>
      </c>
      <c r="S73" s="26">
        <v>5</v>
      </c>
      <c r="T73" s="26" t="s">
        <v>135</v>
      </c>
      <c r="U73" s="26">
        <v>1</v>
      </c>
      <c r="V73" s="26" t="s">
        <v>120</v>
      </c>
      <c r="W73" s="30">
        <v>47.17</v>
      </c>
      <c r="X73" s="30">
        <f t="shared" si="23"/>
        <v>235.85</v>
      </c>
      <c r="Y73" s="32">
        <f>X73-K60</f>
        <v>0</v>
      </c>
      <c r="Z73" s="32"/>
      <c r="AA73" s="32"/>
      <c r="AB73" s="32"/>
      <c r="AC73" s="7"/>
      <c r="AD73" s="20">
        <v>66</v>
      </c>
      <c r="AE73" s="60" t="s">
        <v>358</v>
      </c>
      <c r="AF73" s="61"/>
      <c r="AG73" s="61"/>
      <c r="AH73" s="26" t="s">
        <v>359</v>
      </c>
      <c r="AI73" s="26">
        <v>75</v>
      </c>
      <c r="AJ73" s="26" t="s">
        <v>309</v>
      </c>
      <c r="AK73" s="26">
        <v>2</v>
      </c>
      <c r="AL73" s="26" t="s">
        <v>120</v>
      </c>
      <c r="AM73" s="62">
        <v>30</v>
      </c>
      <c r="AN73" s="63">
        <f t="shared" ref="AN73:AN85" si="25">AI73*AK73*AM73</f>
        <v>4500</v>
      </c>
      <c r="AO73" s="64">
        <f t="shared" si="24"/>
        <v>0</v>
      </c>
      <c r="AP73" s="21"/>
      <c r="AQ73" s="65"/>
      <c r="AR73" s="65" t="s">
        <v>357</v>
      </c>
    </row>
    <row r="74" spans="1:44">
      <c r="A74" s="20">
        <v>65</v>
      </c>
      <c r="B74" s="53" t="s">
        <v>360</v>
      </c>
      <c r="C74" s="26" t="s">
        <v>361</v>
      </c>
      <c r="D74" s="26" t="s">
        <v>362</v>
      </c>
      <c r="E74" s="40" t="s">
        <v>363</v>
      </c>
      <c r="F74" s="26">
        <v>16</v>
      </c>
      <c r="G74" s="26" t="s">
        <v>155</v>
      </c>
      <c r="H74" s="26">
        <v>2</v>
      </c>
      <c r="I74" s="26" t="s">
        <v>120</v>
      </c>
      <c r="J74" s="54">
        <v>50</v>
      </c>
      <c r="K74" s="66">
        <f t="shared" ref="K74:K77" si="26">F74*H74*J74</f>
        <v>1600</v>
      </c>
      <c r="L74" s="26"/>
      <c r="M74" s="7"/>
      <c r="N74" s="20">
        <v>65</v>
      </c>
      <c r="O74" s="21" t="s">
        <v>267</v>
      </c>
      <c r="P74" s="26" t="s">
        <v>268</v>
      </c>
      <c r="Q74" s="26" t="s">
        <v>269</v>
      </c>
      <c r="R74" s="26" t="s">
        <v>270</v>
      </c>
      <c r="S74" s="26">
        <v>6</v>
      </c>
      <c r="T74" s="26" t="s">
        <v>271</v>
      </c>
      <c r="U74" s="26">
        <v>2</v>
      </c>
      <c r="V74" s="26" t="s">
        <v>120</v>
      </c>
      <c r="W74" s="30">
        <v>200</v>
      </c>
      <c r="X74" s="41">
        <f t="shared" ref="X74:X80" si="27">S74*U74*W74</f>
        <v>2400</v>
      </c>
      <c r="Y74" s="32">
        <f>X74-K65</f>
        <v>0</v>
      </c>
      <c r="Z74" s="32"/>
      <c r="AA74" s="32"/>
      <c r="AB74" s="32"/>
      <c r="AC74" s="7"/>
      <c r="AD74" s="20">
        <v>67</v>
      </c>
      <c r="AE74" s="60" t="s">
        <v>364</v>
      </c>
      <c r="AF74" s="61"/>
      <c r="AG74" s="61"/>
      <c r="AH74" s="26" t="s">
        <v>365</v>
      </c>
      <c r="AI74" s="26">
        <v>160</v>
      </c>
      <c r="AJ74" s="26" t="s">
        <v>309</v>
      </c>
      <c r="AK74" s="26">
        <v>2</v>
      </c>
      <c r="AL74" s="26" t="s">
        <v>120</v>
      </c>
      <c r="AM74" s="62">
        <v>3.5</v>
      </c>
      <c r="AN74" s="63">
        <f t="shared" si="25"/>
        <v>1120</v>
      </c>
      <c r="AO74" s="64">
        <f t="shared" si="24"/>
        <v>0</v>
      </c>
      <c r="AP74" s="21"/>
      <c r="AQ74" s="65"/>
      <c r="AR74" s="65" t="s">
        <v>357</v>
      </c>
    </row>
    <row r="75" spans="1:44">
      <c r="A75" s="20">
        <v>66</v>
      </c>
      <c r="B75" s="53" t="s">
        <v>360</v>
      </c>
      <c r="C75" s="26" t="s">
        <v>366</v>
      </c>
      <c r="D75" s="26" t="s">
        <v>362</v>
      </c>
      <c r="E75" s="40" t="s">
        <v>367</v>
      </c>
      <c r="F75" s="26">
        <v>4</v>
      </c>
      <c r="G75" s="26" t="s">
        <v>309</v>
      </c>
      <c r="H75" s="26">
        <v>2</v>
      </c>
      <c r="I75" s="26" t="s">
        <v>120</v>
      </c>
      <c r="J75" s="54">
        <v>437.26</v>
      </c>
      <c r="K75" s="66">
        <f t="shared" si="26"/>
        <v>3498.08</v>
      </c>
      <c r="L75" s="53"/>
      <c r="M75" s="7"/>
      <c r="N75" s="20">
        <v>66</v>
      </c>
      <c r="O75" s="21" t="s">
        <v>274</v>
      </c>
      <c r="P75" s="26" t="s">
        <v>275</v>
      </c>
      <c r="Q75" s="26" t="s">
        <v>269</v>
      </c>
      <c r="R75" s="26" t="s">
        <v>276</v>
      </c>
      <c r="S75" s="26">
        <v>3</v>
      </c>
      <c r="T75" s="26" t="s">
        <v>271</v>
      </c>
      <c r="U75" s="26">
        <v>2</v>
      </c>
      <c r="V75" s="26" t="s">
        <v>120</v>
      </c>
      <c r="W75" s="30">
        <v>260</v>
      </c>
      <c r="X75" s="41">
        <f t="shared" si="27"/>
        <v>1560</v>
      </c>
      <c r="Y75" s="32">
        <f>X75-K66</f>
        <v>0</v>
      </c>
      <c r="Z75" s="32"/>
      <c r="AA75" s="32"/>
      <c r="AB75" s="32"/>
      <c r="AC75" s="7"/>
      <c r="AD75" s="20">
        <v>68</v>
      </c>
      <c r="AE75" s="60" t="s">
        <v>368</v>
      </c>
      <c r="AF75" s="61"/>
      <c r="AG75" s="61"/>
      <c r="AH75" s="26" t="s">
        <v>369</v>
      </c>
      <c r="AI75" s="26">
        <v>1</v>
      </c>
      <c r="AJ75" s="26" t="s">
        <v>309</v>
      </c>
      <c r="AK75" s="26">
        <v>1</v>
      </c>
      <c r="AL75" s="26" t="s">
        <v>119</v>
      </c>
      <c r="AM75" s="62">
        <v>150</v>
      </c>
      <c r="AN75" s="63">
        <f t="shared" si="25"/>
        <v>150</v>
      </c>
      <c r="AO75" s="64">
        <f t="shared" si="24"/>
        <v>0</v>
      </c>
      <c r="AP75" s="21"/>
      <c r="AQ75" s="65"/>
      <c r="AR75" s="65" t="s">
        <v>357</v>
      </c>
    </row>
    <row r="76" spans="1:44">
      <c r="A76" s="20">
        <v>67</v>
      </c>
      <c r="B76" s="21" t="s">
        <v>360</v>
      </c>
      <c r="C76" s="26" t="s">
        <v>370</v>
      </c>
      <c r="D76" s="26" t="s">
        <v>362</v>
      </c>
      <c r="E76" s="40" t="s">
        <v>371</v>
      </c>
      <c r="F76" s="26">
        <v>8</v>
      </c>
      <c r="G76" s="26" t="s">
        <v>309</v>
      </c>
      <c r="H76" s="26">
        <v>2</v>
      </c>
      <c r="I76" s="38" t="s">
        <v>120</v>
      </c>
      <c r="J76" s="54">
        <v>116.603773584906</v>
      </c>
      <c r="K76" s="66">
        <f t="shared" si="26"/>
        <v>1865.6603773585</v>
      </c>
      <c r="L76" s="53"/>
      <c r="M76" s="7"/>
      <c r="N76" s="20">
        <v>67</v>
      </c>
      <c r="O76" s="21" t="s">
        <v>280</v>
      </c>
      <c r="P76" s="26" t="s">
        <v>281</v>
      </c>
      <c r="Q76" s="26" t="s">
        <v>269</v>
      </c>
      <c r="R76" s="26" t="s">
        <v>282</v>
      </c>
      <c r="S76" s="26">
        <v>5</v>
      </c>
      <c r="T76" s="26" t="s">
        <v>271</v>
      </c>
      <c r="U76" s="26">
        <v>2</v>
      </c>
      <c r="V76" s="26" t="s">
        <v>120</v>
      </c>
      <c r="W76" s="30">
        <v>280</v>
      </c>
      <c r="X76" s="30">
        <f t="shared" si="27"/>
        <v>2800</v>
      </c>
      <c r="Y76" s="32">
        <f>X76-K67</f>
        <v>0</v>
      </c>
      <c r="Z76" s="32"/>
      <c r="AA76" s="32"/>
      <c r="AB76" s="32"/>
      <c r="AC76" s="7"/>
      <c r="AD76" s="20">
        <v>69</v>
      </c>
      <c r="AE76" s="60" t="s">
        <v>372</v>
      </c>
      <c r="AF76" s="61"/>
      <c r="AG76" s="61"/>
      <c r="AH76" s="26" t="s">
        <v>373</v>
      </c>
      <c r="AI76" s="26">
        <v>160</v>
      </c>
      <c r="AJ76" s="26" t="s">
        <v>309</v>
      </c>
      <c r="AK76" s="26">
        <v>2</v>
      </c>
      <c r="AL76" s="26" t="s">
        <v>120</v>
      </c>
      <c r="AM76" s="62">
        <v>2.8</v>
      </c>
      <c r="AN76" s="63">
        <f t="shared" si="25"/>
        <v>896</v>
      </c>
      <c r="AO76" s="64">
        <f t="shared" si="24"/>
        <v>0</v>
      </c>
      <c r="AP76" s="21"/>
      <c r="AQ76" s="65"/>
      <c r="AR76" s="65" t="s">
        <v>357</v>
      </c>
    </row>
    <row r="77" spans="1:44">
      <c r="A77" s="20">
        <v>68</v>
      </c>
      <c r="B77" s="21" t="s">
        <v>374</v>
      </c>
      <c r="C77" s="26" t="s">
        <v>375</v>
      </c>
      <c r="D77" s="26" t="s">
        <v>318</v>
      </c>
      <c r="E77" s="40" t="s">
        <v>376</v>
      </c>
      <c r="F77" s="40">
        <v>1</v>
      </c>
      <c r="G77" s="26" t="s">
        <v>271</v>
      </c>
      <c r="H77" s="26">
        <v>2</v>
      </c>
      <c r="I77" s="26" t="s">
        <v>120</v>
      </c>
      <c r="J77" s="62">
        <v>400.471698113208</v>
      </c>
      <c r="K77" s="66">
        <f t="shared" si="26"/>
        <v>800.943396226416</v>
      </c>
      <c r="L77" s="53"/>
      <c r="M77" s="7"/>
      <c r="N77" s="20">
        <v>68</v>
      </c>
      <c r="O77" s="21" t="s">
        <v>286</v>
      </c>
      <c r="P77" s="26" t="s">
        <v>268</v>
      </c>
      <c r="Q77" s="26" t="s">
        <v>269</v>
      </c>
      <c r="R77" s="26" t="s">
        <v>270</v>
      </c>
      <c r="S77" s="26">
        <v>6</v>
      </c>
      <c r="T77" s="26" t="s">
        <v>271</v>
      </c>
      <c r="U77" s="26">
        <v>1</v>
      </c>
      <c r="V77" s="26" t="s">
        <v>120</v>
      </c>
      <c r="W77" s="30">
        <v>200</v>
      </c>
      <c r="X77" s="30">
        <f t="shared" si="27"/>
        <v>1200</v>
      </c>
      <c r="Y77" s="32">
        <f>X77-K69</f>
        <v>0</v>
      </c>
      <c r="Z77" s="32"/>
      <c r="AA77" s="32"/>
      <c r="AB77" s="32"/>
      <c r="AC77" s="7"/>
      <c r="AD77" s="20">
        <v>70</v>
      </c>
      <c r="AE77" s="60" t="s">
        <v>377</v>
      </c>
      <c r="AF77" s="61"/>
      <c r="AG77" s="61"/>
      <c r="AH77" s="26" t="s">
        <v>378</v>
      </c>
      <c r="AI77" s="26">
        <v>200</v>
      </c>
      <c r="AJ77" s="26" t="s">
        <v>309</v>
      </c>
      <c r="AK77" s="26">
        <v>2</v>
      </c>
      <c r="AL77" s="26" t="s">
        <v>120</v>
      </c>
      <c r="AM77" s="62">
        <v>6</v>
      </c>
      <c r="AN77" s="63">
        <f t="shared" si="25"/>
        <v>2400</v>
      </c>
      <c r="AO77" s="64">
        <f t="shared" si="24"/>
        <v>0</v>
      </c>
      <c r="AP77" s="21"/>
      <c r="AQ77" s="65"/>
      <c r="AR77" s="65" t="s">
        <v>357</v>
      </c>
    </row>
    <row r="78" spans="1:44">
      <c r="A78" s="20">
        <v>69</v>
      </c>
      <c r="B78" s="21" t="s">
        <v>113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7"/>
      <c r="N78" s="20">
        <v>69</v>
      </c>
      <c r="O78" s="21" t="s">
        <v>289</v>
      </c>
      <c r="P78" s="26"/>
      <c r="Q78" s="26"/>
      <c r="R78" s="26" t="s">
        <v>290</v>
      </c>
      <c r="S78" s="26">
        <v>100</v>
      </c>
      <c r="T78" s="26" t="s">
        <v>234</v>
      </c>
      <c r="U78" s="26">
        <v>2</v>
      </c>
      <c r="V78" s="26" t="s">
        <v>120</v>
      </c>
      <c r="W78" s="30">
        <v>1</v>
      </c>
      <c r="X78" s="30">
        <f t="shared" si="27"/>
        <v>200</v>
      </c>
      <c r="Y78" s="32">
        <f>X78-K61</f>
        <v>-100</v>
      </c>
      <c r="Z78" s="32" t="s">
        <v>92</v>
      </c>
      <c r="AA78" s="32" t="s">
        <v>143</v>
      </c>
      <c r="AB78" s="32"/>
      <c r="AC78" s="7"/>
      <c r="AD78" s="20">
        <v>71</v>
      </c>
      <c r="AE78" s="60" t="s">
        <v>379</v>
      </c>
      <c r="AF78" s="61"/>
      <c r="AG78" s="61"/>
      <c r="AH78" s="26" t="s">
        <v>379</v>
      </c>
      <c r="AI78" s="26">
        <v>1</v>
      </c>
      <c r="AJ78" s="26" t="s">
        <v>309</v>
      </c>
      <c r="AK78" s="26">
        <v>1</v>
      </c>
      <c r="AL78" s="26" t="s">
        <v>119</v>
      </c>
      <c r="AM78" s="62">
        <v>150</v>
      </c>
      <c r="AN78" s="63">
        <f t="shared" si="25"/>
        <v>150</v>
      </c>
      <c r="AO78" s="64">
        <f t="shared" si="24"/>
        <v>0</v>
      </c>
      <c r="AP78" s="21"/>
      <c r="AQ78" s="65"/>
      <c r="AR78" s="65" t="s">
        <v>357</v>
      </c>
    </row>
    <row r="79" spans="1:44">
      <c r="A79" s="20">
        <v>70</v>
      </c>
      <c r="B79" s="34" t="s">
        <v>321</v>
      </c>
      <c r="C79" s="35" t="s">
        <v>115</v>
      </c>
      <c r="D79" s="35" t="s">
        <v>115</v>
      </c>
      <c r="E79" s="35" t="s">
        <v>115</v>
      </c>
      <c r="F79" s="35" t="s">
        <v>115</v>
      </c>
      <c r="G79" s="35" t="s">
        <v>115</v>
      </c>
      <c r="H79" s="35" t="s">
        <v>115</v>
      </c>
      <c r="I79" s="35" t="s">
        <v>115</v>
      </c>
      <c r="J79" s="35" t="s">
        <v>115</v>
      </c>
      <c r="K79" s="59">
        <f>SUM(K73:K77)</f>
        <v>9364.68377358491</v>
      </c>
      <c r="L79" s="35"/>
      <c r="M79" s="7"/>
      <c r="N79" s="20">
        <v>70</v>
      </c>
      <c r="O79" s="21" t="s">
        <v>295</v>
      </c>
      <c r="P79" s="26"/>
      <c r="Q79" s="26"/>
      <c r="R79" s="26" t="s">
        <v>296</v>
      </c>
      <c r="S79" s="26">
        <v>1000</v>
      </c>
      <c r="T79" s="26" t="s">
        <v>297</v>
      </c>
      <c r="U79" s="26">
        <v>2</v>
      </c>
      <c r="V79" s="26" t="s">
        <v>120</v>
      </c>
      <c r="W79" s="30">
        <v>1</v>
      </c>
      <c r="X79" s="30">
        <f t="shared" si="27"/>
        <v>2000</v>
      </c>
      <c r="Y79" s="32">
        <f>X79-K62</f>
        <v>-1000</v>
      </c>
      <c r="Z79" s="32" t="s">
        <v>92</v>
      </c>
      <c r="AA79" s="32" t="s">
        <v>143</v>
      </c>
      <c r="AB79" s="32"/>
      <c r="AC79" s="7"/>
      <c r="AD79" s="20">
        <v>72</v>
      </c>
      <c r="AE79" s="60" t="s">
        <v>380</v>
      </c>
      <c r="AF79" s="61"/>
      <c r="AG79" s="61"/>
      <c r="AH79" s="26" t="s">
        <v>380</v>
      </c>
      <c r="AI79" s="26">
        <v>0</v>
      </c>
      <c r="AJ79" s="26" t="s">
        <v>309</v>
      </c>
      <c r="AK79" s="26">
        <v>1</v>
      </c>
      <c r="AL79" s="26" t="s">
        <v>119</v>
      </c>
      <c r="AM79" s="62">
        <v>30</v>
      </c>
      <c r="AN79" s="63">
        <f t="shared" si="25"/>
        <v>0</v>
      </c>
      <c r="AO79" s="64">
        <f t="shared" si="24"/>
        <v>-300</v>
      </c>
      <c r="AP79" s="21" t="s">
        <v>90</v>
      </c>
      <c r="AQ79" s="65"/>
      <c r="AR79" s="65"/>
    </row>
    <row r="80" spans="1:44">
      <c r="A80" s="20">
        <v>71</v>
      </c>
      <c r="B80" s="21" t="s">
        <v>322</v>
      </c>
      <c r="C80" s="26" t="s">
        <v>323</v>
      </c>
      <c r="D80" s="26" t="s">
        <v>324</v>
      </c>
      <c r="E80" s="40" t="s">
        <v>325</v>
      </c>
      <c r="F80" s="26">
        <v>6</v>
      </c>
      <c r="G80" s="26" t="s">
        <v>309</v>
      </c>
      <c r="H80" s="26">
        <v>2</v>
      </c>
      <c r="I80" s="38" t="s">
        <v>120</v>
      </c>
      <c r="J80" s="54">
        <v>295</v>
      </c>
      <c r="K80" s="55">
        <f t="shared" ref="K80:K85" si="28">F80*H80*J80</f>
        <v>3540</v>
      </c>
      <c r="L80" s="26" t="s">
        <v>381</v>
      </c>
      <c r="M80" s="7"/>
      <c r="N80" s="20">
        <v>71</v>
      </c>
      <c r="O80" s="21" t="s">
        <v>301</v>
      </c>
      <c r="P80" s="26"/>
      <c r="Q80" s="26"/>
      <c r="R80" s="26" t="s">
        <v>302</v>
      </c>
      <c r="S80" s="26">
        <v>1000</v>
      </c>
      <c r="T80" s="26" t="s">
        <v>297</v>
      </c>
      <c r="U80" s="26">
        <v>2</v>
      </c>
      <c r="V80" s="26" t="s">
        <v>120</v>
      </c>
      <c r="W80" s="30">
        <v>1</v>
      </c>
      <c r="X80" s="41">
        <f t="shared" si="27"/>
        <v>2000</v>
      </c>
      <c r="Y80" s="32">
        <f>X80-K63</f>
        <v>-1000</v>
      </c>
      <c r="Z80" s="32" t="s">
        <v>92</v>
      </c>
      <c r="AA80" s="32" t="s">
        <v>143</v>
      </c>
      <c r="AB80" s="32"/>
      <c r="AC80" s="7"/>
      <c r="AD80" s="20">
        <v>73</v>
      </c>
      <c r="AE80" s="60" t="s">
        <v>382</v>
      </c>
      <c r="AF80" s="61"/>
      <c r="AG80" s="61"/>
      <c r="AH80" s="26" t="s">
        <v>383</v>
      </c>
      <c r="AI80" s="26">
        <v>1</v>
      </c>
      <c r="AJ80" s="26" t="s">
        <v>119</v>
      </c>
      <c r="AK80" s="26">
        <v>1</v>
      </c>
      <c r="AL80" s="26" t="s">
        <v>119</v>
      </c>
      <c r="AM80" s="62">
        <v>373.09</v>
      </c>
      <c r="AN80" s="63">
        <f t="shared" si="25"/>
        <v>373.09</v>
      </c>
      <c r="AO80" s="64">
        <f>AN80-X91</f>
        <v>373.09</v>
      </c>
      <c r="AP80" s="21"/>
      <c r="AQ80" s="65"/>
      <c r="AR80" s="65" t="s">
        <v>384</v>
      </c>
    </row>
    <row r="81" spans="1:44">
      <c r="A81" s="20">
        <v>72</v>
      </c>
      <c r="B81" s="21" t="s">
        <v>326</v>
      </c>
      <c r="C81" s="26" t="s">
        <v>323</v>
      </c>
      <c r="D81" s="26" t="s">
        <v>324</v>
      </c>
      <c r="E81" s="40" t="s">
        <v>325</v>
      </c>
      <c r="F81" s="26">
        <v>6</v>
      </c>
      <c r="G81" s="26" t="s">
        <v>309</v>
      </c>
      <c r="H81" s="26">
        <v>1</v>
      </c>
      <c r="I81" s="38" t="s">
        <v>120</v>
      </c>
      <c r="J81" s="54">
        <v>295</v>
      </c>
      <c r="K81" s="55">
        <f t="shared" si="28"/>
        <v>1770</v>
      </c>
      <c r="L81" s="26"/>
      <c r="M81" s="7"/>
      <c r="N81" s="20">
        <v>72</v>
      </c>
      <c r="O81" s="21" t="s">
        <v>305</v>
      </c>
      <c r="P81" s="26"/>
      <c r="Q81" s="26"/>
      <c r="R81" s="26" t="s">
        <v>334</v>
      </c>
      <c r="S81" s="26">
        <v>0</v>
      </c>
      <c r="T81" s="26" t="s">
        <v>309</v>
      </c>
      <c r="U81" s="26">
        <v>0</v>
      </c>
      <c r="V81" s="26" t="s">
        <v>120</v>
      </c>
      <c r="W81" s="30">
        <v>28</v>
      </c>
      <c r="X81" s="41">
        <f t="shared" ref="X81:X82" si="29">S81*U81*W81</f>
        <v>0</v>
      </c>
      <c r="Y81" s="32">
        <f>X81-K64</f>
        <v>-2240</v>
      </c>
      <c r="Z81" s="32" t="s">
        <v>92</v>
      </c>
      <c r="AA81" s="32"/>
      <c r="AB81" s="32"/>
      <c r="AC81" s="7"/>
      <c r="AD81" s="20">
        <v>74</v>
      </c>
      <c r="AE81" s="67" t="s">
        <v>385</v>
      </c>
      <c r="AF81" s="61"/>
      <c r="AG81" s="61"/>
      <c r="AH81" s="26" t="s">
        <v>386</v>
      </c>
      <c r="AI81" s="26">
        <v>1</v>
      </c>
      <c r="AJ81" s="26" t="s">
        <v>119</v>
      </c>
      <c r="AK81" s="26">
        <v>1</v>
      </c>
      <c r="AL81" s="26" t="s">
        <v>119</v>
      </c>
      <c r="AM81" s="62">
        <v>168.28</v>
      </c>
      <c r="AN81" s="63">
        <f t="shared" si="25"/>
        <v>168.28</v>
      </c>
      <c r="AO81" s="64">
        <f>AN81-0</f>
        <v>168.28</v>
      </c>
      <c r="AP81" s="21" t="s">
        <v>89</v>
      </c>
      <c r="AQ81" s="65"/>
      <c r="AR81" s="65" t="s">
        <v>387</v>
      </c>
    </row>
    <row r="82" spans="1:44">
      <c r="A82" s="20">
        <v>73</v>
      </c>
      <c r="B82" s="21" t="s">
        <v>328</v>
      </c>
      <c r="C82" s="26" t="s">
        <v>329</v>
      </c>
      <c r="D82" s="26" t="s">
        <v>324</v>
      </c>
      <c r="E82" s="26" t="s">
        <v>330</v>
      </c>
      <c r="F82" s="26">
        <v>1</v>
      </c>
      <c r="G82" s="26" t="s">
        <v>309</v>
      </c>
      <c r="H82" s="26">
        <v>2</v>
      </c>
      <c r="I82" s="38" t="s">
        <v>120</v>
      </c>
      <c r="J82" s="54">
        <v>250</v>
      </c>
      <c r="K82" s="55">
        <f t="shared" si="28"/>
        <v>500</v>
      </c>
      <c r="L82" s="26"/>
      <c r="M82" s="7"/>
      <c r="N82" s="20">
        <v>73</v>
      </c>
      <c r="O82" s="21" t="s">
        <v>305</v>
      </c>
      <c r="P82" s="26" t="s">
        <v>306</v>
      </c>
      <c r="Q82" s="26" t="s">
        <v>307</v>
      </c>
      <c r="R82" s="26" t="s">
        <v>308</v>
      </c>
      <c r="S82" s="26">
        <v>40</v>
      </c>
      <c r="T82" s="26" t="s">
        <v>309</v>
      </c>
      <c r="U82" s="26">
        <v>2</v>
      </c>
      <c r="V82" s="38" t="s">
        <v>120</v>
      </c>
      <c r="W82" s="41">
        <v>12</v>
      </c>
      <c r="X82" s="41">
        <f t="shared" si="29"/>
        <v>960</v>
      </c>
      <c r="Y82" s="32">
        <f>X82-0</f>
        <v>960</v>
      </c>
      <c r="Z82" s="32" t="s">
        <v>89</v>
      </c>
      <c r="AA82" s="32"/>
      <c r="AB82" s="32"/>
      <c r="AC82" s="7"/>
      <c r="AD82" s="20">
        <v>75</v>
      </c>
      <c r="AE82" s="67" t="s">
        <v>388</v>
      </c>
      <c r="AF82" s="61"/>
      <c r="AG82" s="61"/>
      <c r="AH82" s="26" t="s">
        <v>388</v>
      </c>
      <c r="AI82" s="26">
        <v>1</v>
      </c>
      <c r="AJ82" s="26" t="s">
        <v>119</v>
      </c>
      <c r="AK82" s="26">
        <v>1</v>
      </c>
      <c r="AL82" s="26" t="s">
        <v>119</v>
      </c>
      <c r="AM82" s="62">
        <v>203.09</v>
      </c>
      <c r="AN82" s="63">
        <f t="shared" si="25"/>
        <v>203.09</v>
      </c>
      <c r="AO82" s="64">
        <f>AN82-0</f>
        <v>203.09</v>
      </c>
      <c r="AP82" s="21" t="s">
        <v>89</v>
      </c>
      <c r="AQ82" s="65"/>
      <c r="AR82" s="65" t="s">
        <v>389</v>
      </c>
    </row>
    <row r="83" spans="1:44">
      <c r="A83" s="20">
        <v>74</v>
      </c>
      <c r="B83" s="21" t="s">
        <v>331</v>
      </c>
      <c r="C83" s="26" t="s">
        <v>332</v>
      </c>
      <c r="D83" s="26" t="s">
        <v>324</v>
      </c>
      <c r="E83" s="26" t="s">
        <v>333</v>
      </c>
      <c r="F83" s="26">
        <v>4</v>
      </c>
      <c r="G83" s="26" t="s">
        <v>309</v>
      </c>
      <c r="H83" s="26">
        <v>2</v>
      </c>
      <c r="I83" s="38" t="s">
        <v>120</v>
      </c>
      <c r="J83" s="54">
        <v>300</v>
      </c>
      <c r="K83" s="55">
        <f t="shared" si="28"/>
        <v>2400</v>
      </c>
      <c r="L83" s="26"/>
      <c r="M83" s="7"/>
      <c r="N83" s="20">
        <v>74</v>
      </c>
      <c r="O83" s="21"/>
      <c r="P83" s="26"/>
      <c r="Q83" s="26"/>
      <c r="R83" s="26"/>
      <c r="S83" s="26"/>
      <c r="T83" s="26"/>
      <c r="U83" s="26"/>
      <c r="V83" s="26"/>
      <c r="W83" s="41"/>
      <c r="X83" s="41"/>
      <c r="Y83" s="26"/>
      <c r="Z83" s="21"/>
      <c r="AA83" s="53"/>
      <c r="AB83" s="53"/>
      <c r="AC83" s="7"/>
      <c r="AD83" s="20">
        <v>76</v>
      </c>
      <c r="AE83" s="67" t="s">
        <v>390</v>
      </c>
      <c r="AF83" s="61"/>
      <c r="AG83" s="61"/>
      <c r="AH83" s="26" t="s">
        <v>391</v>
      </c>
      <c r="AI83" s="26">
        <v>1</v>
      </c>
      <c r="AJ83" s="26" t="s">
        <v>119</v>
      </c>
      <c r="AK83" s="26">
        <v>1</v>
      </c>
      <c r="AL83" s="26" t="s">
        <v>119</v>
      </c>
      <c r="AM83" s="62">
        <v>153.24</v>
      </c>
      <c r="AN83" s="63">
        <f t="shared" si="25"/>
        <v>153.24</v>
      </c>
      <c r="AO83" s="64">
        <f>AN83-0</f>
        <v>153.24</v>
      </c>
      <c r="AP83" s="21" t="s">
        <v>89</v>
      </c>
      <c r="AQ83" s="65"/>
      <c r="AR83" s="65" t="s">
        <v>392</v>
      </c>
    </row>
    <row r="84" spans="1:44">
      <c r="A84" s="20">
        <v>75</v>
      </c>
      <c r="B84" s="21" t="s">
        <v>336</v>
      </c>
      <c r="C84" s="26" t="s">
        <v>337</v>
      </c>
      <c r="D84" s="26" t="s">
        <v>324</v>
      </c>
      <c r="E84" s="26" t="s">
        <v>338</v>
      </c>
      <c r="F84" s="26">
        <v>1</v>
      </c>
      <c r="G84" s="26" t="s">
        <v>309</v>
      </c>
      <c r="H84" s="26">
        <v>2</v>
      </c>
      <c r="I84" s="38" t="s">
        <v>120</v>
      </c>
      <c r="J84" s="54">
        <v>1650</v>
      </c>
      <c r="K84" s="55">
        <f t="shared" si="28"/>
        <v>3300</v>
      </c>
      <c r="L84" s="26"/>
      <c r="M84" s="7"/>
      <c r="N84" s="20">
        <v>75</v>
      </c>
      <c r="O84" s="21"/>
      <c r="P84" s="9"/>
      <c r="Q84" s="9"/>
      <c r="R84" s="9"/>
      <c r="S84" s="9"/>
      <c r="T84" s="9"/>
      <c r="U84" s="9"/>
      <c r="V84" s="9"/>
      <c r="W84" s="9"/>
      <c r="X84" s="53"/>
      <c r="Y84" s="21"/>
      <c r="Z84" s="21"/>
      <c r="AA84" s="53"/>
      <c r="AB84" s="53"/>
      <c r="AC84" s="7"/>
      <c r="AD84" s="20">
        <v>77</v>
      </c>
      <c r="AE84" s="67" t="s">
        <v>393</v>
      </c>
      <c r="AF84" s="61"/>
      <c r="AG84" s="61"/>
      <c r="AH84" s="26" t="s">
        <v>394</v>
      </c>
      <c r="AI84" s="26">
        <v>1</v>
      </c>
      <c r="AJ84" s="26" t="s">
        <v>119</v>
      </c>
      <c r="AK84" s="26">
        <v>1</v>
      </c>
      <c r="AL84" s="26" t="s">
        <v>119</v>
      </c>
      <c r="AM84" s="62">
        <v>57.07</v>
      </c>
      <c r="AN84" s="63">
        <f t="shared" si="25"/>
        <v>57.07</v>
      </c>
      <c r="AO84" s="64">
        <f>AN84-0</f>
        <v>57.07</v>
      </c>
      <c r="AP84" s="21" t="s">
        <v>89</v>
      </c>
      <c r="AQ84" s="65"/>
      <c r="AR84" s="65" t="s">
        <v>395</v>
      </c>
    </row>
    <row r="85" spans="1:44">
      <c r="A85" s="20">
        <v>76</v>
      </c>
      <c r="B85" s="21" t="s">
        <v>396</v>
      </c>
      <c r="C85" s="26" t="s">
        <v>342</v>
      </c>
      <c r="D85" s="26" t="s">
        <v>324</v>
      </c>
      <c r="E85" s="26" t="s">
        <v>343</v>
      </c>
      <c r="F85" s="26">
        <v>2</v>
      </c>
      <c r="G85" s="26" t="s">
        <v>344</v>
      </c>
      <c r="H85" s="26">
        <v>1</v>
      </c>
      <c r="I85" s="38" t="s">
        <v>345</v>
      </c>
      <c r="J85" s="54">
        <v>531.605</v>
      </c>
      <c r="K85" s="55">
        <f t="shared" si="28"/>
        <v>1063.21</v>
      </c>
      <c r="L85" s="26" t="s">
        <v>397</v>
      </c>
      <c r="M85" s="7"/>
      <c r="N85" s="20">
        <v>76</v>
      </c>
      <c r="O85" s="21"/>
      <c r="P85" s="9"/>
      <c r="Q85" s="9"/>
      <c r="R85" s="9"/>
      <c r="S85" s="9"/>
      <c r="T85" s="9"/>
      <c r="U85" s="9"/>
      <c r="V85" s="9"/>
      <c r="W85" s="9"/>
      <c r="X85" s="53"/>
      <c r="Y85" s="21"/>
      <c r="Z85" s="21"/>
      <c r="AA85" s="53"/>
      <c r="AB85" s="53"/>
      <c r="AC85" s="7"/>
      <c r="AD85" s="20">
        <v>78</v>
      </c>
      <c r="AE85" s="67" t="s">
        <v>398</v>
      </c>
      <c r="AF85" s="61"/>
      <c r="AG85" s="61"/>
      <c r="AH85" s="26" t="s">
        <v>399</v>
      </c>
      <c r="AI85" s="26">
        <v>1</v>
      </c>
      <c r="AJ85" s="26" t="s">
        <v>119</v>
      </c>
      <c r="AK85" s="26">
        <v>1</v>
      </c>
      <c r="AL85" s="26" t="s">
        <v>119</v>
      </c>
      <c r="AM85" s="62">
        <v>242.79</v>
      </c>
      <c r="AN85" s="63">
        <f t="shared" si="25"/>
        <v>242.79</v>
      </c>
      <c r="AO85" s="64">
        <f>AN85-0</f>
        <v>242.79</v>
      </c>
      <c r="AP85" s="21" t="s">
        <v>89</v>
      </c>
      <c r="AQ85" s="65"/>
      <c r="AR85" s="65" t="s">
        <v>400</v>
      </c>
    </row>
    <row r="86" spans="1:44">
      <c r="A86" s="20">
        <v>77</v>
      </c>
      <c r="B86" s="9" t="s">
        <v>113</v>
      </c>
      <c r="C86" s="9"/>
      <c r="D86" s="9"/>
      <c r="E86" s="9"/>
      <c r="F86" s="26"/>
      <c r="G86" s="26"/>
      <c r="H86" s="26"/>
      <c r="I86" s="38"/>
      <c r="J86" s="54"/>
      <c r="K86" s="55"/>
      <c r="L86" s="26"/>
      <c r="M86" s="7"/>
      <c r="N86" s="20">
        <v>77</v>
      </c>
      <c r="O86" s="68" t="s">
        <v>315</v>
      </c>
      <c r="P86" s="37" t="s">
        <v>115</v>
      </c>
      <c r="Q86" s="37" t="s">
        <v>115</v>
      </c>
      <c r="R86" s="37" t="s">
        <v>115</v>
      </c>
      <c r="S86" s="37" t="s">
        <v>115</v>
      </c>
      <c r="T86" s="37" t="s">
        <v>115</v>
      </c>
      <c r="U86" s="37" t="s">
        <v>115</v>
      </c>
      <c r="V86" s="37" t="s">
        <v>115</v>
      </c>
      <c r="W86" s="37" t="s">
        <v>115</v>
      </c>
      <c r="X86" s="69">
        <f>SUM(X19:X85)</f>
        <v>63393.969464151</v>
      </c>
      <c r="Y86" s="70">
        <f>SUM(Y19:Y85)</f>
        <v>-37588.1373283018</v>
      </c>
      <c r="Z86" s="71"/>
      <c r="AA86" s="71"/>
      <c r="AB86" s="71"/>
      <c r="AC86" s="7"/>
      <c r="AD86" s="20">
        <v>79</v>
      </c>
      <c r="AE86" s="9"/>
      <c r="AF86" s="9"/>
      <c r="AG86" s="9"/>
      <c r="AH86" s="9"/>
      <c r="AI86" s="9"/>
      <c r="AJ86" s="9"/>
      <c r="AK86" s="9"/>
      <c r="AL86" s="9"/>
      <c r="AM86" s="9"/>
      <c r="AN86" s="53"/>
      <c r="AO86" s="20"/>
      <c r="AP86" s="21"/>
      <c r="AQ86" s="53"/>
      <c r="AR86" s="53"/>
    </row>
    <row r="87" spans="1:44">
      <c r="A87" s="20">
        <v>78</v>
      </c>
      <c r="B87" s="34" t="s">
        <v>354</v>
      </c>
      <c r="C87" s="35" t="s">
        <v>115</v>
      </c>
      <c r="D87" s="35" t="s">
        <v>115</v>
      </c>
      <c r="E87" s="35" t="s">
        <v>115</v>
      </c>
      <c r="F87" s="35" t="s">
        <v>115</v>
      </c>
      <c r="G87" s="35" t="s">
        <v>115</v>
      </c>
      <c r="H87" s="35" t="s">
        <v>115</v>
      </c>
      <c r="I87" s="35" t="s">
        <v>115</v>
      </c>
      <c r="J87" s="35" t="s">
        <v>115</v>
      </c>
      <c r="K87" s="72">
        <f>SUM(K80:K85)</f>
        <v>12573.21</v>
      </c>
      <c r="L87" s="35"/>
      <c r="M87" s="7"/>
      <c r="N87" s="20">
        <v>78</v>
      </c>
      <c r="O87" s="21" t="s">
        <v>316</v>
      </c>
      <c r="P87" s="26" t="s">
        <v>317</v>
      </c>
      <c r="Q87" s="26" t="s">
        <v>318</v>
      </c>
      <c r="R87" s="26" t="s">
        <v>319</v>
      </c>
      <c r="S87" s="26">
        <v>1</v>
      </c>
      <c r="T87" s="26" t="s">
        <v>271</v>
      </c>
      <c r="U87" s="26">
        <v>2</v>
      </c>
      <c r="V87" s="38" t="s">
        <v>120</v>
      </c>
      <c r="W87" s="54">
        <v>800</v>
      </c>
      <c r="X87" s="55">
        <f>S87*U87*W87</f>
        <v>1600</v>
      </c>
      <c r="Y87" s="56">
        <f>X87-K73</f>
        <v>0</v>
      </c>
      <c r="Z87" s="21"/>
      <c r="AA87" s="53"/>
      <c r="AB87" s="53"/>
      <c r="AC87" s="7"/>
      <c r="AD87" s="20">
        <v>80</v>
      </c>
      <c r="AE87" s="9"/>
      <c r="AF87" s="9"/>
      <c r="AG87" s="9"/>
      <c r="AH87" s="9"/>
      <c r="AI87" s="9"/>
      <c r="AJ87" s="9"/>
      <c r="AK87" s="9"/>
      <c r="AL87" s="9"/>
      <c r="AM87" s="9"/>
      <c r="AN87" s="53"/>
      <c r="AO87" s="20"/>
      <c r="AP87" s="21"/>
      <c r="AQ87" s="53"/>
      <c r="AR87" s="53"/>
    </row>
    <row r="88" spans="1:44">
      <c r="A88" s="20">
        <v>79</v>
      </c>
      <c r="B88" s="9" t="s">
        <v>113</v>
      </c>
      <c r="C88" s="9"/>
      <c r="D88" s="9"/>
      <c r="E88" s="9"/>
      <c r="F88" s="9"/>
      <c r="G88" s="9"/>
      <c r="H88" s="9"/>
      <c r="I88" s="9"/>
      <c r="J88" s="9"/>
      <c r="K88" s="53"/>
      <c r="L88" s="53"/>
      <c r="M88" s="7"/>
      <c r="N88" s="20">
        <v>79</v>
      </c>
      <c r="O88" s="53" t="s">
        <v>360</v>
      </c>
      <c r="P88" s="26" t="s">
        <v>361</v>
      </c>
      <c r="Q88" s="26" t="s">
        <v>362</v>
      </c>
      <c r="R88" s="40" t="s">
        <v>363</v>
      </c>
      <c r="S88" s="26">
        <v>0</v>
      </c>
      <c r="T88" s="26" t="s">
        <v>155</v>
      </c>
      <c r="U88" s="26">
        <v>0</v>
      </c>
      <c r="V88" s="26" t="s">
        <v>120</v>
      </c>
      <c r="W88" s="54">
        <v>50</v>
      </c>
      <c r="X88" s="66">
        <f t="shared" ref="X88:X91" si="30">S88*U88*W88</f>
        <v>0</v>
      </c>
      <c r="Y88" s="56">
        <f>X88-K74</f>
        <v>-1600</v>
      </c>
      <c r="Z88" s="21" t="s">
        <v>90</v>
      </c>
      <c r="AA88" s="53"/>
      <c r="AB88" s="53"/>
      <c r="AC88" s="7"/>
      <c r="AD88" s="20">
        <v>81</v>
      </c>
      <c r="AE88" s="27" t="s">
        <v>401</v>
      </c>
      <c r="AF88" s="28" t="s">
        <v>115</v>
      </c>
      <c r="AG88" s="28" t="s">
        <v>115</v>
      </c>
      <c r="AH88" s="28" t="s">
        <v>115</v>
      </c>
      <c r="AI88" s="28" t="s">
        <v>115</v>
      </c>
      <c r="AJ88" s="28" t="s">
        <v>115</v>
      </c>
      <c r="AK88" s="28" t="s">
        <v>115</v>
      </c>
      <c r="AL88" s="28" t="s">
        <v>115</v>
      </c>
      <c r="AM88" s="28" t="s">
        <v>115</v>
      </c>
      <c r="AN88" s="29">
        <f>SUM(AN72:AN85)</f>
        <v>12013.56</v>
      </c>
      <c r="AO88" s="28">
        <v>0</v>
      </c>
      <c r="AP88" s="28"/>
      <c r="AQ88" s="28"/>
      <c r="AR88" s="28"/>
    </row>
    <row r="89" spans="1:44">
      <c r="A89" s="20">
        <v>80</v>
      </c>
      <c r="B89" s="34" t="s">
        <v>401</v>
      </c>
      <c r="C89" s="35" t="s">
        <v>115</v>
      </c>
      <c r="D89" s="35" t="s">
        <v>115</v>
      </c>
      <c r="E89" s="35" t="s">
        <v>115</v>
      </c>
      <c r="F89" s="35" t="s">
        <v>115</v>
      </c>
      <c r="G89" s="35" t="s">
        <v>115</v>
      </c>
      <c r="H89" s="35" t="s">
        <v>115</v>
      </c>
      <c r="I89" s="35" t="s">
        <v>115</v>
      </c>
      <c r="J89" s="35" t="s">
        <v>115</v>
      </c>
      <c r="K89" s="35">
        <v>0</v>
      </c>
      <c r="L89" s="35"/>
      <c r="M89" s="7"/>
      <c r="N89" s="20">
        <v>80</v>
      </c>
      <c r="O89" s="53" t="s">
        <v>360</v>
      </c>
      <c r="P89" s="26" t="s">
        <v>366</v>
      </c>
      <c r="Q89" s="26" t="s">
        <v>362</v>
      </c>
      <c r="R89" s="40" t="s">
        <v>367</v>
      </c>
      <c r="S89" s="26">
        <v>0</v>
      </c>
      <c r="T89" s="26" t="s">
        <v>309</v>
      </c>
      <c r="U89" s="26">
        <v>0</v>
      </c>
      <c r="V89" s="26" t="s">
        <v>120</v>
      </c>
      <c r="W89" s="54">
        <v>437.26</v>
      </c>
      <c r="X89" s="66">
        <f t="shared" si="30"/>
        <v>0</v>
      </c>
      <c r="Y89" s="56">
        <f>X89-K75</f>
        <v>-3498.08</v>
      </c>
      <c r="Z89" s="21" t="s">
        <v>90</v>
      </c>
      <c r="AA89" s="53"/>
      <c r="AB89" s="53"/>
      <c r="AC89" s="7"/>
      <c r="AD89" s="20">
        <v>82</v>
      </c>
      <c r="AE89" s="9" t="s">
        <v>113</v>
      </c>
      <c r="AF89" s="9"/>
      <c r="AG89" s="9"/>
      <c r="AH89" s="9"/>
      <c r="AI89" s="9"/>
      <c r="AJ89" s="9"/>
      <c r="AK89" s="9"/>
      <c r="AL89" s="9"/>
      <c r="AM89" s="9"/>
      <c r="AN89" s="53"/>
      <c r="AO89" s="20">
        <f>X113-AN89</f>
        <v>0</v>
      </c>
      <c r="AP89" s="21"/>
      <c r="AQ89" s="53"/>
      <c r="AR89" s="53"/>
    </row>
    <row r="90" spans="1:44">
      <c r="A90" s="20">
        <v>81</v>
      </c>
      <c r="B90" s="9" t="s">
        <v>113</v>
      </c>
      <c r="C90" s="9"/>
      <c r="D90" s="9"/>
      <c r="E90" s="9"/>
      <c r="F90" s="9"/>
      <c r="G90" s="9"/>
      <c r="H90" s="9"/>
      <c r="I90" s="9"/>
      <c r="J90" s="9"/>
      <c r="K90" s="53"/>
      <c r="L90" s="53"/>
      <c r="M90" s="7"/>
      <c r="N90" s="20">
        <v>81</v>
      </c>
      <c r="O90" s="21" t="s">
        <v>360</v>
      </c>
      <c r="P90" s="26" t="s">
        <v>370</v>
      </c>
      <c r="Q90" s="26" t="s">
        <v>362</v>
      </c>
      <c r="R90" s="40" t="s">
        <v>371</v>
      </c>
      <c r="S90" s="26">
        <v>0</v>
      </c>
      <c r="T90" s="26" t="s">
        <v>309</v>
      </c>
      <c r="U90" s="26">
        <v>0</v>
      </c>
      <c r="V90" s="38" t="s">
        <v>120</v>
      </c>
      <c r="W90" s="54">
        <v>116.603773584906</v>
      </c>
      <c r="X90" s="66">
        <f t="shared" si="30"/>
        <v>0</v>
      </c>
      <c r="Y90" s="56">
        <f>X90-K76</f>
        <v>-1865.6603773585</v>
      </c>
      <c r="Z90" s="21" t="s">
        <v>90</v>
      </c>
      <c r="AA90" s="53"/>
      <c r="AB90" s="53"/>
      <c r="AC90" s="7"/>
      <c r="AD90" s="20">
        <v>83</v>
      </c>
      <c r="AE90" s="9" t="s">
        <v>113</v>
      </c>
      <c r="AF90" s="9"/>
      <c r="AG90" s="9"/>
      <c r="AH90" s="9"/>
      <c r="AI90" s="9"/>
      <c r="AJ90" s="9"/>
      <c r="AK90" s="9"/>
      <c r="AL90" s="9"/>
      <c r="AM90" s="9"/>
      <c r="AN90" s="53"/>
      <c r="AO90" s="20">
        <f>X114-AN90</f>
        <v>0</v>
      </c>
      <c r="AP90" s="21"/>
      <c r="AQ90" s="53"/>
      <c r="AR90" s="53"/>
    </row>
    <row r="91" spans="1:44">
      <c r="A91" s="20">
        <v>82</v>
      </c>
      <c r="B91" s="34" t="s">
        <v>402</v>
      </c>
      <c r="C91" s="35" t="s">
        <v>115</v>
      </c>
      <c r="D91" s="35" t="s">
        <v>115</v>
      </c>
      <c r="E91" s="35" t="s">
        <v>115</v>
      </c>
      <c r="F91" s="35" t="s">
        <v>115</v>
      </c>
      <c r="G91" s="35" t="s">
        <v>115</v>
      </c>
      <c r="H91" s="35" t="s">
        <v>115</v>
      </c>
      <c r="I91" s="35" t="s">
        <v>115</v>
      </c>
      <c r="J91" s="35" t="s">
        <v>115</v>
      </c>
      <c r="K91" s="35">
        <v>0</v>
      </c>
      <c r="L91" s="35"/>
      <c r="M91" s="7"/>
      <c r="N91" s="20">
        <v>82</v>
      </c>
      <c r="O91" s="21" t="s">
        <v>374</v>
      </c>
      <c r="P91" s="26" t="s">
        <v>375</v>
      </c>
      <c r="Q91" s="26" t="s">
        <v>318</v>
      </c>
      <c r="R91" s="40" t="s">
        <v>376</v>
      </c>
      <c r="S91" s="40">
        <v>0</v>
      </c>
      <c r="T91" s="26" t="s">
        <v>271</v>
      </c>
      <c r="U91" s="26">
        <v>0</v>
      </c>
      <c r="V91" s="26" t="s">
        <v>120</v>
      </c>
      <c r="W91" s="62">
        <v>400.471698113208</v>
      </c>
      <c r="X91" s="66">
        <f t="shared" si="30"/>
        <v>0</v>
      </c>
      <c r="Y91" s="56">
        <f>X91-K77</f>
        <v>-800.943396226416</v>
      </c>
      <c r="Z91" s="21" t="s">
        <v>90</v>
      </c>
      <c r="AA91" s="53"/>
      <c r="AB91" s="53"/>
      <c r="AC91" s="7"/>
      <c r="AD91" s="20">
        <v>84</v>
      </c>
      <c r="AE91" s="9" t="s">
        <v>113</v>
      </c>
      <c r="AF91" s="9"/>
      <c r="AG91" s="9"/>
      <c r="AH91" s="9"/>
      <c r="AI91" s="9"/>
      <c r="AJ91" s="9"/>
      <c r="AK91" s="9"/>
      <c r="AL91" s="9"/>
      <c r="AM91" s="9"/>
      <c r="AN91" s="53"/>
      <c r="AO91" s="20">
        <f>X115-AN91</f>
        <v>0</v>
      </c>
      <c r="AP91" s="21"/>
      <c r="AQ91" s="53"/>
      <c r="AR91" s="53"/>
    </row>
    <row r="92" spans="1:44">
      <c r="A92" s="20">
        <v>83</v>
      </c>
      <c r="B92" s="73" t="s">
        <v>45</v>
      </c>
      <c r="C92" s="26" t="s">
        <v>403</v>
      </c>
      <c r="D92" s="26" t="s">
        <v>404</v>
      </c>
      <c r="E92" s="40" t="s">
        <v>405</v>
      </c>
      <c r="F92" s="40">
        <v>1</v>
      </c>
      <c r="G92" s="26" t="s">
        <v>406</v>
      </c>
      <c r="H92" s="26">
        <v>1</v>
      </c>
      <c r="I92" s="26" t="s">
        <v>120</v>
      </c>
      <c r="J92" s="54">
        <v>2000</v>
      </c>
      <c r="K92" s="55">
        <f>F92*H92*J92</f>
        <v>2000</v>
      </c>
      <c r="L92" s="53"/>
      <c r="M92" s="7"/>
      <c r="N92" s="20">
        <v>83</v>
      </c>
      <c r="O92" s="21"/>
      <c r="P92" s="9"/>
      <c r="Q92" s="9"/>
      <c r="R92" s="9"/>
      <c r="S92" s="9"/>
      <c r="T92" s="9"/>
      <c r="U92" s="9"/>
      <c r="V92" s="9"/>
      <c r="W92" s="9"/>
      <c r="X92" s="53"/>
      <c r="Y92" s="21"/>
      <c r="Z92" s="21"/>
      <c r="AA92" s="53"/>
      <c r="AB92" s="53"/>
      <c r="AC92" s="7"/>
      <c r="AD92" s="20">
        <v>85</v>
      </c>
      <c r="AE92" s="27" t="s">
        <v>402</v>
      </c>
      <c r="AF92" s="28" t="s">
        <v>115</v>
      </c>
      <c r="AG92" s="28" t="s">
        <v>115</v>
      </c>
      <c r="AH92" s="28" t="s">
        <v>115</v>
      </c>
      <c r="AI92" s="28" t="s">
        <v>115</v>
      </c>
      <c r="AJ92" s="28" t="s">
        <v>115</v>
      </c>
      <c r="AK92" s="28" t="s">
        <v>115</v>
      </c>
      <c r="AL92" s="28" t="s">
        <v>115</v>
      </c>
      <c r="AM92" s="28" t="s">
        <v>115</v>
      </c>
      <c r="AN92" s="29">
        <v>0</v>
      </c>
      <c r="AO92" s="28">
        <v>0</v>
      </c>
      <c r="AP92" s="28"/>
      <c r="AQ92" s="28"/>
      <c r="AR92" s="28"/>
    </row>
    <row r="93" ht="28" spans="1:44">
      <c r="A93" s="20">
        <v>84</v>
      </c>
      <c r="B93" s="73" t="s">
        <v>45</v>
      </c>
      <c r="C93" s="26" t="s">
        <v>407</v>
      </c>
      <c r="D93" s="26" t="s">
        <v>404</v>
      </c>
      <c r="E93" s="40" t="s">
        <v>408</v>
      </c>
      <c r="F93" s="40">
        <v>1</v>
      </c>
      <c r="G93" s="26" t="s">
        <v>406</v>
      </c>
      <c r="H93" s="26">
        <v>1</v>
      </c>
      <c r="I93" s="26" t="s">
        <v>120</v>
      </c>
      <c r="J93" s="54">
        <v>1457.545</v>
      </c>
      <c r="K93" s="55">
        <f>F93*H93*J93</f>
        <v>1457.545</v>
      </c>
      <c r="L93" s="53"/>
      <c r="M93" s="7"/>
      <c r="N93" s="20">
        <v>84</v>
      </c>
      <c r="O93" s="36" t="s">
        <v>321</v>
      </c>
      <c r="P93" s="37" t="s">
        <v>115</v>
      </c>
      <c r="Q93" s="37" t="s">
        <v>115</v>
      </c>
      <c r="R93" s="37" t="s">
        <v>115</v>
      </c>
      <c r="S93" s="37" t="s">
        <v>115</v>
      </c>
      <c r="T93" s="37" t="s">
        <v>115</v>
      </c>
      <c r="U93" s="37" t="s">
        <v>115</v>
      </c>
      <c r="V93" s="37" t="s">
        <v>115</v>
      </c>
      <c r="W93" s="37" t="s">
        <v>115</v>
      </c>
      <c r="X93" s="74">
        <f>SUM(X87:X91)</f>
        <v>1600</v>
      </c>
      <c r="Y93" s="75">
        <f>SUM(Y87:Y91)</f>
        <v>-7764.68377358491</v>
      </c>
      <c r="Z93" s="37"/>
      <c r="AA93" s="37"/>
      <c r="AB93" s="37"/>
      <c r="AC93" s="7"/>
      <c r="AD93" s="20">
        <v>86</v>
      </c>
      <c r="AE93" s="76" t="s">
        <v>409</v>
      </c>
      <c r="AF93" s="38" t="s">
        <v>410</v>
      </c>
      <c r="AG93" s="38" t="s">
        <v>404</v>
      </c>
      <c r="AH93" s="45" t="s">
        <v>411</v>
      </c>
      <c r="AI93" s="45">
        <v>4</v>
      </c>
      <c r="AJ93" s="38" t="s">
        <v>412</v>
      </c>
      <c r="AK93" s="38">
        <v>4</v>
      </c>
      <c r="AL93" s="38" t="s">
        <v>120</v>
      </c>
      <c r="AM93" s="77">
        <v>19.73125</v>
      </c>
      <c r="AN93" s="78">
        <f t="shared" ref="AN93:AN95" si="31">AI93*AK93*AM93</f>
        <v>315.7</v>
      </c>
      <c r="AO93" s="79">
        <f>AN93-X120</f>
        <v>-137.1</v>
      </c>
      <c r="AP93" s="43" t="s">
        <v>92</v>
      </c>
      <c r="AQ93" s="80"/>
      <c r="AR93" s="80" t="s">
        <v>413</v>
      </c>
    </row>
    <row r="94" ht="28" spans="1:44">
      <c r="A94" s="20">
        <v>85</v>
      </c>
      <c r="B94" s="73" t="s">
        <v>45</v>
      </c>
      <c r="C94" s="26" t="s">
        <v>414</v>
      </c>
      <c r="D94" s="26" t="s">
        <v>404</v>
      </c>
      <c r="E94" s="40" t="s">
        <v>415</v>
      </c>
      <c r="F94" s="40">
        <v>1</v>
      </c>
      <c r="G94" s="26" t="s">
        <v>406</v>
      </c>
      <c r="H94" s="26">
        <v>1</v>
      </c>
      <c r="I94" s="26" t="s">
        <v>120</v>
      </c>
      <c r="J94" s="54">
        <v>1625</v>
      </c>
      <c r="K94" s="55">
        <f>F94*H94*J94</f>
        <v>1625</v>
      </c>
      <c r="L94" s="81" t="s">
        <v>416</v>
      </c>
      <c r="M94" s="7"/>
      <c r="N94" s="20">
        <v>85</v>
      </c>
      <c r="O94" s="21" t="s">
        <v>322</v>
      </c>
      <c r="P94" s="26" t="s">
        <v>323</v>
      </c>
      <c r="Q94" s="26" t="s">
        <v>324</v>
      </c>
      <c r="R94" s="40" t="s">
        <v>325</v>
      </c>
      <c r="S94" s="26">
        <v>6</v>
      </c>
      <c r="T94" s="26" t="s">
        <v>309</v>
      </c>
      <c r="U94" s="26">
        <v>2</v>
      </c>
      <c r="V94" s="38" t="s">
        <v>120</v>
      </c>
      <c r="W94" s="54">
        <v>295</v>
      </c>
      <c r="X94" s="55">
        <f t="shared" ref="X94:X99" si="32">S94*U94*W94</f>
        <v>3540</v>
      </c>
      <c r="Y94" s="56">
        <f t="shared" ref="Y94:Y99" si="33">X94-K80</f>
        <v>0</v>
      </c>
      <c r="Z94" s="21"/>
      <c r="AA94" s="53"/>
      <c r="AB94" s="53"/>
      <c r="AC94" s="7"/>
      <c r="AD94" s="20">
        <v>87</v>
      </c>
      <c r="AE94" s="76" t="s">
        <v>417</v>
      </c>
      <c r="AF94" s="38" t="s">
        <v>418</v>
      </c>
      <c r="AG94" s="38" t="s">
        <v>404</v>
      </c>
      <c r="AH94" s="38" t="s">
        <v>419</v>
      </c>
      <c r="AI94" s="45">
        <v>2</v>
      </c>
      <c r="AJ94" s="38" t="s">
        <v>420</v>
      </c>
      <c r="AK94" s="38">
        <v>3</v>
      </c>
      <c r="AL94" s="38" t="s">
        <v>120</v>
      </c>
      <c r="AM94" s="77">
        <v>274.77</v>
      </c>
      <c r="AN94" s="78">
        <f t="shared" si="31"/>
        <v>1648.62</v>
      </c>
      <c r="AO94" s="79">
        <f>AN94-X121</f>
        <v>-151.38</v>
      </c>
      <c r="AP94" s="43" t="s">
        <v>92</v>
      </c>
      <c r="AQ94" s="80"/>
      <c r="AR94" s="80" t="s">
        <v>421</v>
      </c>
    </row>
    <row r="95" spans="1:44">
      <c r="A95" s="20">
        <v>86</v>
      </c>
      <c r="B95" s="73" t="s">
        <v>409</v>
      </c>
      <c r="C95" s="26" t="s">
        <v>410</v>
      </c>
      <c r="D95" s="26" t="s">
        <v>404</v>
      </c>
      <c r="E95" s="40" t="s">
        <v>411</v>
      </c>
      <c r="F95" s="40">
        <v>6</v>
      </c>
      <c r="G95" s="26" t="s">
        <v>412</v>
      </c>
      <c r="H95" s="26">
        <v>4</v>
      </c>
      <c r="I95" s="26" t="s">
        <v>120</v>
      </c>
      <c r="J95" s="54">
        <v>28.3</v>
      </c>
      <c r="K95" s="55">
        <f t="shared" ref="K95:K97" si="34">F95*H95*J95</f>
        <v>679.2</v>
      </c>
      <c r="L95" s="81" t="s">
        <v>422</v>
      </c>
      <c r="M95" s="7"/>
      <c r="N95" s="20">
        <v>86</v>
      </c>
      <c r="O95" s="21" t="s">
        <v>326</v>
      </c>
      <c r="P95" s="26" t="s">
        <v>323</v>
      </c>
      <c r="Q95" s="26" t="s">
        <v>324</v>
      </c>
      <c r="R95" s="40" t="s">
        <v>325</v>
      </c>
      <c r="S95" s="26">
        <v>6</v>
      </c>
      <c r="T95" s="26" t="s">
        <v>309</v>
      </c>
      <c r="U95" s="26">
        <v>1</v>
      </c>
      <c r="V95" s="38" t="s">
        <v>120</v>
      </c>
      <c r="W95" s="54">
        <v>295</v>
      </c>
      <c r="X95" s="55">
        <f t="shared" si="32"/>
        <v>1770</v>
      </c>
      <c r="Y95" s="56">
        <f t="shared" si="33"/>
        <v>0</v>
      </c>
      <c r="Z95" s="21" t="s">
        <v>92</v>
      </c>
      <c r="AA95" s="53"/>
      <c r="AB95" s="53"/>
      <c r="AC95" s="7"/>
      <c r="AD95" s="20">
        <v>88</v>
      </c>
      <c r="AE95" s="76" t="s">
        <v>423</v>
      </c>
      <c r="AF95" s="38" t="s">
        <v>424</v>
      </c>
      <c r="AG95" s="38" t="s">
        <v>404</v>
      </c>
      <c r="AH95" s="38" t="s">
        <v>425</v>
      </c>
      <c r="AI95" s="38">
        <v>2</v>
      </c>
      <c r="AJ95" s="38" t="s">
        <v>271</v>
      </c>
      <c r="AK95" s="38">
        <v>4</v>
      </c>
      <c r="AL95" s="38" t="s">
        <v>120</v>
      </c>
      <c r="AM95" s="77">
        <v>27.765</v>
      </c>
      <c r="AN95" s="78">
        <f t="shared" si="31"/>
        <v>222.12</v>
      </c>
      <c r="AO95" s="79">
        <f>AN95-X122</f>
        <v>-155.24</v>
      </c>
      <c r="AP95" s="43"/>
      <c r="AQ95" s="80"/>
      <c r="AR95" s="80" t="s">
        <v>426</v>
      </c>
    </row>
    <row r="96" spans="1:44">
      <c r="A96" s="20">
        <v>87</v>
      </c>
      <c r="B96" s="73" t="s">
        <v>417</v>
      </c>
      <c r="C96" s="26" t="s">
        <v>418</v>
      </c>
      <c r="D96" s="26" t="s">
        <v>404</v>
      </c>
      <c r="E96" s="26" t="s">
        <v>419</v>
      </c>
      <c r="F96" s="40">
        <v>2</v>
      </c>
      <c r="G96" s="26" t="s">
        <v>420</v>
      </c>
      <c r="H96" s="26">
        <v>3</v>
      </c>
      <c r="I96" s="26" t="s">
        <v>120</v>
      </c>
      <c r="J96" s="54">
        <v>300</v>
      </c>
      <c r="K96" s="55">
        <f t="shared" si="34"/>
        <v>1800</v>
      </c>
      <c r="L96" s="81" t="s">
        <v>427</v>
      </c>
      <c r="M96" s="7"/>
      <c r="N96" s="20">
        <v>87</v>
      </c>
      <c r="O96" s="21" t="s">
        <v>328</v>
      </c>
      <c r="P96" s="26" t="s">
        <v>329</v>
      </c>
      <c r="Q96" s="26" t="s">
        <v>324</v>
      </c>
      <c r="R96" s="26" t="s">
        <v>330</v>
      </c>
      <c r="S96" s="26">
        <v>1</v>
      </c>
      <c r="T96" s="26" t="s">
        <v>309</v>
      </c>
      <c r="U96" s="26">
        <v>2</v>
      </c>
      <c r="V96" s="38" t="s">
        <v>120</v>
      </c>
      <c r="W96" s="54">
        <v>250</v>
      </c>
      <c r="X96" s="55">
        <f t="shared" si="32"/>
        <v>500</v>
      </c>
      <c r="Y96" s="56">
        <f t="shared" si="33"/>
        <v>0</v>
      </c>
      <c r="Z96" s="21"/>
      <c r="AA96" s="53"/>
      <c r="AB96" s="53"/>
      <c r="AC96" s="7"/>
      <c r="AD96" s="20">
        <v>89</v>
      </c>
      <c r="AE96" s="82"/>
      <c r="AF96" s="82"/>
      <c r="AG96" s="82"/>
      <c r="AH96" s="82"/>
      <c r="AI96" s="82"/>
      <c r="AJ96" s="82"/>
      <c r="AK96" s="82"/>
      <c r="AL96" s="82"/>
      <c r="AM96" s="82"/>
      <c r="AN96" s="80"/>
      <c r="AO96" s="83"/>
      <c r="AP96" s="43"/>
      <c r="AQ96" s="80"/>
      <c r="AR96" s="80"/>
    </row>
    <row r="97" spans="1:44">
      <c r="A97" s="20">
        <v>88</v>
      </c>
      <c r="B97" s="73" t="s">
        <v>423</v>
      </c>
      <c r="C97" s="26" t="s">
        <v>424</v>
      </c>
      <c r="D97" s="26" t="s">
        <v>404</v>
      </c>
      <c r="E97" s="26" t="s">
        <v>425</v>
      </c>
      <c r="F97" s="26">
        <v>3</v>
      </c>
      <c r="G97" s="26" t="s">
        <v>120</v>
      </c>
      <c r="H97" s="26">
        <v>4</v>
      </c>
      <c r="I97" s="26" t="s">
        <v>120</v>
      </c>
      <c r="J97" s="54">
        <v>47.17</v>
      </c>
      <c r="K97" s="55">
        <f t="shared" si="34"/>
        <v>566.04</v>
      </c>
      <c r="L97" s="81"/>
      <c r="M97" s="7"/>
      <c r="N97" s="20">
        <v>88</v>
      </c>
      <c r="O97" s="21" t="s">
        <v>331</v>
      </c>
      <c r="P97" s="26" t="s">
        <v>332</v>
      </c>
      <c r="Q97" s="26" t="s">
        <v>324</v>
      </c>
      <c r="R97" s="26" t="s">
        <v>333</v>
      </c>
      <c r="S97" s="26">
        <v>4</v>
      </c>
      <c r="T97" s="26" t="s">
        <v>309</v>
      </c>
      <c r="U97" s="26">
        <v>2</v>
      </c>
      <c r="V97" s="38" t="s">
        <v>120</v>
      </c>
      <c r="W97" s="54">
        <v>300</v>
      </c>
      <c r="X97" s="55">
        <f t="shared" si="32"/>
        <v>2400</v>
      </c>
      <c r="Y97" s="56">
        <f t="shared" si="33"/>
        <v>0</v>
      </c>
      <c r="Z97" s="21"/>
      <c r="AA97" s="53"/>
      <c r="AB97" s="53"/>
      <c r="AC97" s="7"/>
      <c r="AD97" s="20">
        <v>90</v>
      </c>
      <c r="AE97" s="27" t="s">
        <v>428</v>
      </c>
      <c r="AF97" s="28" t="s">
        <v>115</v>
      </c>
      <c r="AG97" s="28" t="s">
        <v>115</v>
      </c>
      <c r="AH97" s="28" t="s">
        <v>115</v>
      </c>
      <c r="AI97" s="28" t="s">
        <v>115</v>
      </c>
      <c r="AJ97" s="28" t="s">
        <v>115</v>
      </c>
      <c r="AK97" s="28" t="s">
        <v>115</v>
      </c>
      <c r="AL97" s="28" t="s">
        <v>115</v>
      </c>
      <c r="AM97" s="28" t="s">
        <v>115</v>
      </c>
      <c r="AN97" s="29">
        <f>SUM(AN93:AN95)</f>
        <v>2186.44</v>
      </c>
      <c r="AO97" s="28">
        <f>SUM(AO93:AO95)</f>
        <v>-443.72</v>
      </c>
      <c r="AP97" s="28"/>
      <c r="AQ97" s="28"/>
      <c r="AR97" s="28"/>
    </row>
    <row r="98" spans="1:44">
      <c r="A98" s="20">
        <v>89</v>
      </c>
      <c r="B98" s="9" t="s">
        <v>113</v>
      </c>
      <c r="C98" s="9"/>
      <c r="D98" s="9"/>
      <c r="E98" s="9"/>
      <c r="F98" s="9"/>
      <c r="G98" s="9"/>
      <c r="H98" s="9"/>
      <c r="I98" s="9"/>
      <c r="J98" s="9"/>
      <c r="K98" s="53"/>
      <c r="M98" s="7"/>
      <c r="N98" s="20">
        <v>89</v>
      </c>
      <c r="O98" s="21" t="s">
        <v>336</v>
      </c>
      <c r="P98" s="26" t="s">
        <v>337</v>
      </c>
      <c r="Q98" s="26" t="s">
        <v>324</v>
      </c>
      <c r="R98" s="26" t="s">
        <v>338</v>
      </c>
      <c r="S98" s="26">
        <v>1</v>
      </c>
      <c r="T98" s="26" t="s">
        <v>309</v>
      </c>
      <c r="U98" s="26">
        <v>2</v>
      </c>
      <c r="V98" s="38" t="s">
        <v>120</v>
      </c>
      <c r="W98" s="54">
        <v>1650</v>
      </c>
      <c r="X98" s="55">
        <f t="shared" si="32"/>
        <v>3300</v>
      </c>
      <c r="Y98" s="56">
        <f t="shared" si="33"/>
        <v>0</v>
      </c>
      <c r="Z98" s="21"/>
      <c r="AA98" s="53"/>
      <c r="AB98" s="53"/>
      <c r="AC98" s="7"/>
      <c r="AD98" s="20">
        <v>91</v>
      </c>
      <c r="AE98" s="73" t="s">
        <v>429</v>
      </c>
      <c r="AF98" s="9"/>
      <c r="AG98" s="9"/>
      <c r="AH98" s="73" t="s">
        <v>430</v>
      </c>
      <c r="AI98" s="40">
        <v>2</v>
      </c>
      <c r="AJ98" s="26" t="s">
        <v>344</v>
      </c>
      <c r="AK98" s="26">
        <v>2</v>
      </c>
      <c r="AL98" s="26" t="s">
        <v>431</v>
      </c>
      <c r="AM98" s="54">
        <v>615</v>
      </c>
      <c r="AN98" s="55">
        <f>AI98*AK98*AM98</f>
        <v>2460</v>
      </c>
      <c r="AO98" s="84">
        <f>AN98-X124</f>
        <v>-1540</v>
      </c>
      <c r="AP98" s="21" t="s">
        <v>92</v>
      </c>
      <c r="AQ98" s="53"/>
      <c r="AR98" s="53" t="s">
        <v>432</v>
      </c>
    </row>
    <row r="99" spans="1:44">
      <c r="A99" s="20">
        <v>90</v>
      </c>
      <c r="B99" s="34" t="s">
        <v>428</v>
      </c>
      <c r="C99" s="35" t="s">
        <v>115</v>
      </c>
      <c r="D99" s="35" t="s">
        <v>115</v>
      </c>
      <c r="E99" s="35" t="s">
        <v>115</v>
      </c>
      <c r="F99" s="35" t="s">
        <v>115</v>
      </c>
      <c r="G99" s="35" t="s">
        <v>115</v>
      </c>
      <c r="H99" s="35" t="s">
        <v>115</v>
      </c>
      <c r="I99" s="35" t="s">
        <v>115</v>
      </c>
      <c r="J99" s="35" t="s">
        <v>115</v>
      </c>
      <c r="K99" s="85">
        <f>K92+K93+K95+K94+K97+K96</f>
        <v>8127.785</v>
      </c>
      <c r="L99" s="35"/>
      <c r="M99" s="7"/>
      <c r="N99" s="20">
        <v>90</v>
      </c>
      <c r="O99" s="21" t="s">
        <v>396</v>
      </c>
      <c r="P99" s="26" t="s">
        <v>342</v>
      </c>
      <c r="Q99" s="26" t="s">
        <v>324</v>
      </c>
      <c r="R99" s="26" t="s">
        <v>343</v>
      </c>
      <c r="S99" s="26">
        <v>2</v>
      </c>
      <c r="T99" s="26" t="s">
        <v>344</v>
      </c>
      <c r="U99" s="26">
        <v>1</v>
      </c>
      <c r="V99" s="38" t="s">
        <v>345</v>
      </c>
      <c r="W99" s="54">
        <v>531.605</v>
      </c>
      <c r="X99" s="55">
        <f t="shared" si="32"/>
        <v>1063.21</v>
      </c>
      <c r="Y99" s="56">
        <f t="shared" si="33"/>
        <v>0</v>
      </c>
      <c r="Z99" s="21"/>
      <c r="AA99" s="53"/>
      <c r="AB99" s="53"/>
      <c r="AC99" s="7"/>
      <c r="AD99" s="20">
        <v>92</v>
      </c>
      <c r="AE99" s="86"/>
      <c r="AF99" s="9"/>
      <c r="AG99" s="9"/>
      <c r="AH99" s="73"/>
      <c r="AI99" s="40"/>
      <c r="AJ99" s="26"/>
      <c r="AK99" s="26"/>
      <c r="AL99" s="26"/>
      <c r="AM99" s="54"/>
      <c r="AN99" s="55"/>
      <c r="AO99" s="84"/>
      <c r="AP99" s="21"/>
      <c r="AQ99" s="53"/>
      <c r="AR99" s="53"/>
    </row>
    <row r="100" spans="1:44">
      <c r="A100" s="20">
        <v>91</v>
      </c>
      <c r="B100" s="73" t="s">
        <v>429</v>
      </c>
      <c r="C100" s="26"/>
      <c r="D100" s="26"/>
      <c r="E100" s="40"/>
      <c r="F100" s="40">
        <v>3</v>
      </c>
      <c r="G100" s="26" t="s">
        <v>344</v>
      </c>
      <c r="H100" s="26">
        <v>2</v>
      </c>
      <c r="I100" s="26" t="s">
        <v>431</v>
      </c>
      <c r="J100" s="54">
        <v>1000</v>
      </c>
      <c r="K100" s="55">
        <f>F100*H100*J100</f>
        <v>6000</v>
      </c>
      <c r="L100" s="81" t="s">
        <v>433</v>
      </c>
      <c r="M100" s="7"/>
      <c r="N100" s="20">
        <v>91</v>
      </c>
      <c r="O100" s="9"/>
      <c r="P100" s="9"/>
      <c r="Q100" s="9"/>
      <c r="R100" s="9"/>
      <c r="S100" s="9"/>
      <c r="T100" s="9"/>
      <c r="U100" s="9"/>
      <c r="V100" s="9"/>
      <c r="W100" s="9"/>
      <c r="X100" s="53"/>
      <c r="Y100" s="21"/>
      <c r="Z100" s="21"/>
      <c r="AA100" s="53"/>
      <c r="AB100" s="53"/>
      <c r="AC100" s="7"/>
      <c r="AD100" s="20">
        <v>93</v>
      </c>
      <c r="AE100" s="27" t="s">
        <v>434</v>
      </c>
      <c r="AF100" s="28" t="s">
        <v>115</v>
      </c>
      <c r="AG100" s="28" t="s">
        <v>115</v>
      </c>
      <c r="AH100" s="28" t="s">
        <v>115</v>
      </c>
      <c r="AI100" s="28" t="s">
        <v>115</v>
      </c>
      <c r="AJ100" s="28" t="s">
        <v>115</v>
      </c>
      <c r="AK100" s="28" t="s">
        <v>115</v>
      </c>
      <c r="AL100" s="28" t="s">
        <v>115</v>
      </c>
      <c r="AM100" s="28" t="s">
        <v>115</v>
      </c>
      <c r="AN100" s="29">
        <f>SUM(AN98:AN99)</f>
        <v>2460</v>
      </c>
      <c r="AO100" s="28">
        <f>SUM(AO98:AO99)</f>
        <v>-1540</v>
      </c>
      <c r="AP100" s="28"/>
      <c r="AQ100" s="28"/>
      <c r="AR100" s="28"/>
    </row>
    <row r="101" spans="1:44">
      <c r="A101" s="20">
        <v>92</v>
      </c>
      <c r="B101" s="9" t="s">
        <v>113</v>
      </c>
      <c r="C101" s="9"/>
      <c r="D101" s="9"/>
      <c r="E101" s="9"/>
      <c r="F101" s="9"/>
      <c r="G101" s="9"/>
      <c r="H101" s="9"/>
      <c r="I101" s="9"/>
      <c r="J101" s="9"/>
      <c r="K101" s="53"/>
      <c r="L101" s="53"/>
      <c r="M101" s="7"/>
      <c r="N101" s="20">
        <v>92</v>
      </c>
      <c r="O101" s="36" t="s">
        <v>354</v>
      </c>
      <c r="P101" s="37" t="s">
        <v>115</v>
      </c>
      <c r="Q101" s="37" t="s">
        <v>115</v>
      </c>
      <c r="R101" s="37" t="s">
        <v>115</v>
      </c>
      <c r="S101" s="37" t="s">
        <v>115</v>
      </c>
      <c r="T101" s="37" t="s">
        <v>115</v>
      </c>
      <c r="U101" s="37" t="s">
        <v>115</v>
      </c>
      <c r="V101" s="37" t="s">
        <v>115</v>
      </c>
      <c r="W101" s="37" t="s">
        <v>115</v>
      </c>
      <c r="X101" s="74">
        <f>SUM(X94:X99)</f>
        <v>12573.21</v>
      </c>
      <c r="Y101" s="75">
        <f>SUM(Y94:Y99)</f>
        <v>0</v>
      </c>
      <c r="Z101" s="37"/>
      <c r="AA101" s="37"/>
      <c r="AB101" s="37"/>
      <c r="AC101" s="7"/>
      <c r="AD101" s="20">
        <v>94</v>
      </c>
      <c r="AE101" s="73" t="s">
        <v>435</v>
      </c>
      <c r="AF101" s="26"/>
      <c r="AG101" s="26"/>
      <c r="AH101" s="40"/>
      <c r="AI101" s="40">
        <v>1</v>
      </c>
      <c r="AJ101" s="26" t="s">
        <v>119</v>
      </c>
      <c r="AK101" s="26">
        <v>1</v>
      </c>
      <c r="AL101" s="26" t="s">
        <v>119</v>
      </c>
      <c r="AM101" s="54">
        <v>308.2</v>
      </c>
      <c r="AN101" s="55">
        <f>AI101*AK101*AM101</f>
        <v>308.2</v>
      </c>
      <c r="AO101" s="87">
        <f>AN101-X88</f>
        <v>308.2</v>
      </c>
      <c r="AP101" s="21" t="s">
        <v>92</v>
      </c>
      <c r="AQ101" s="53"/>
      <c r="AR101" s="53" t="s">
        <v>436</v>
      </c>
    </row>
    <row r="102" spans="1:44">
      <c r="A102" s="20">
        <v>93</v>
      </c>
      <c r="B102" s="34" t="s">
        <v>434</v>
      </c>
      <c r="C102" s="35" t="s">
        <v>115</v>
      </c>
      <c r="D102" s="35" t="s">
        <v>115</v>
      </c>
      <c r="E102" s="35" t="s">
        <v>115</v>
      </c>
      <c r="F102" s="35" t="s">
        <v>115</v>
      </c>
      <c r="G102" s="35" t="s">
        <v>115</v>
      </c>
      <c r="H102" s="35" t="s">
        <v>115</v>
      </c>
      <c r="I102" s="35" t="s">
        <v>115</v>
      </c>
      <c r="J102" s="35" t="s">
        <v>115</v>
      </c>
      <c r="K102" s="85">
        <f>K100+K101</f>
        <v>6000</v>
      </c>
      <c r="L102" s="35"/>
      <c r="M102" s="7"/>
      <c r="N102" s="20">
        <v>93</v>
      </c>
      <c r="O102" s="60" t="s">
        <v>355</v>
      </c>
      <c r="P102" s="61"/>
      <c r="Q102" s="61"/>
      <c r="R102" s="26" t="s">
        <v>356</v>
      </c>
      <c r="S102" s="26">
        <v>200</v>
      </c>
      <c r="T102" s="26" t="s">
        <v>309</v>
      </c>
      <c r="U102" s="26">
        <v>2</v>
      </c>
      <c r="V102" s="26" t="s">
        <v>120</v>
      </c>
      <c r="W102" s="62">
        <v>4</v>
      </c>
      <c r="X102" s="63">
        <f>S102*U102*W102</f>
        <v>1600</v>
      </c>
      <c r="Y102" s="88">
        <f t="shared" ref="Y102:Y109" si="35">X102-K106</f>
        <v>-3200</v>
      </c>
      <c r="Z102" s="21"/>
      <c r="AA102" s="65"/>
      <c r="AB102" s="65"/>
      <c r="AC102" s="7"/>
      <c r="AD102" s="20">
        <v>95</v>
      </c>
      <c r="AE102" s="89"/>
      <c r="AF102" s="9"/>
      <c r="AG102" s="9"/>
      <c r="AH102" s="9"/>
      <c r="AI102" s="9"/>
      <c r="AJ102" s="9"/>
      <c r="AK102" s="9"/>
      <c r="AL102" s="9"/>
      <c r="AM102" s="9"/>
      <c r="AN102" s="53"/>
      <c r="AO102" s="20"/>
      <c r="AP102" s="21"/>
      <c r="AQ102" s="53"/>
      <c r="AR102" s="53"/>
    </row>
    <row r="103" spans="1:44">
      <c r="A103" s="20">
        <v>94</v>
      </c>
      <c r="B103" s="73" t="s">
        <v>435</v>
      </c>
      <c r="C103" s="26"/>
      <c r="D103" s="26"/>
      <c r="E103" s="40"/>
      <c r="F103" s="40">
        <v>1</v>
      </c>
      <c r="G103" s="26" t="s">
        <v>119</v>
      </c>
      <c r="H103" s="26">
        <v>1</v>
      </c>
      <c r="I103" s="26" t="s">
        <v>119</v>
      </c>
      <c r="J103" s="54">
        <v>3000</v>
      </c>
      <c r="K103" s="55">
        <f>F103*H103*J103</f>
        <v>3000</v>
      </c>
      <c r="L103" s="81" t="s">
        <v>437</v>
      </c>
      <c r="M103" s="7"/>
      <c r="N103" s="20">
        <v>94</v>
      </c>
      <c r="O103" s="60" t="s">
        <v>358</v>
      </c>
      <c r="P103" s="61"/>
      <c r="Q103" s="61"/>
      <c r="R103" s="26" t="s">
        <v>359</v>
      </c>
      <c r="S103" s="26">
        <v>75</v>
      </c>
      <c r="T103" s="26" t="s">
        <v>309</v>
      </c>
      <c r="U103" s="26">
        <v>2</v>
      </c>
      <c r="V103" s="26" t="s">
        <v>120</v>
      </c>
      <c r="W103" s="62">
        <v>30</v>
      </c>
      <c r="X103" s="63">
        <f t="shared" ref="X103:X110" si="36">S103*U103*W103</f>
        <v>4500</v>
      </c>
      <c r="Y103" s="88">
        <f t="shared" si="35"/>
        <v>-5100</v>
      </c>
      <c r="Z103" s="21"/>
      <c r="AA103" s="65"/>
      <c r="AB103" s="65"/>
      <c r="AC103" s="7"/>
      <c r="AD103" s="20">
        <v>96</v>
      </c>
      <c r="AE103" s="27" t="s">
        <v>438</v>
      </c>
      <c r="AF103" s="28" t="s">
        <v>115</v>
      </c>
      <c r="AG103" s="28" t="s">
        <v>115</v>
      </c>
      <c r="AH103" s="28" t="s">
        <v>115</v>
      </c>
      <c r="AI103" s="28" t="s">
        <v>115</v>
      </c>
      <c r="AJ103" s="28" t="s">
        <v>115</v>
      </c>
      <c r="AK103" s="28" t="s">
        <v>115</v>
      </c>
      <c r="AL103" s="28" t="s">
        <v>115</v>
      </c>
      <c r="AM103" s="28" t="s">
        <v>115</v>
      </c>
      <c r="AN103" s="29">
        <f>SUM(AN101:AN102)</f>
        <v>308.2</v>
      </c>
      <c r="AO103" s="28"/>
      <c r="AP103" s="28"/>
      <c r="AQ103" s="28"/>
      <c r="AR103" s="28"/>
    </row>
    <row r="104" spans="1:44">
      <c r="A104" s="20">
        <v>95</v>
      </c>
      <c r="B104" s="9" t="s">
        <v>113</v>
      </c>
      <c r="C104" s="9"/>
      <c r="D104" s="9"/>
      <c r="E104" s="9"/>
      <c r="F104" s="9"/>
      <c r="G104" s="9"/>
      <c r="H104" s="9"/>
      <c r="I104" s="9"/>
      <c r="J104" s="9"/>
      <c r="K104" s="53"/>
      <c r="L104" s="53"/>
      <c r="M104" s="7"/>
      <c r="N104" s="20">
        <v>95</v>
      </c>
      <c r="O104" s="60" t="s">
        <v>364</v>
      </c>
      <c r="P104" s="61"/>
      <c r="Q104" s="61"/>
      <c r="R104" s="26" t="s">
        <v>365</v>
      </c>
      <c r="S104" s="26">
        <v>160</v>
      </c>
      <c r="T104" s="26" t="s">
        <v>309</v>
      </c>
      <c r="U104" s="26">
        <v>2</v>
      </c>
      <c r="V104" s="26" t="s">
        <v>120</v>
      </c>
      <c r="W104" s="62">
        <v>3.5</v>
      </c>
      <c r="X104" s="63">
        <f t="shared" si="36"/>
        <v>1120</v>
      </c>
      <c r="Y104" s="88">
        <f t="shared" si="35"/>
        <v>0</v>
      </c>
      <c r="Z104" s="21"/>
      <c r="AA104" s="65"/>
      <c r="AB104" s="65"/>
      <c r="AC104" s="7"/>
      <c r="AD104" s="20">
        <v>97</v>
      </c>
      <c r="AE104" s="67"/>
      <c r="AF104" s="61"/>
      <c r="AG104" s="61"/>
      <c r="AH104" s="26"/>
      <c r="AI104" s="26"/>
      <c r="AJ104" s="26"/>
      <c r="AK104" s="26"/>
      <c r="AL104" s="26"/>
      <c r="AM104" s="62"/>
      <c r="AN104" s="63"/>
      <c r="AO104" s="64"/>
      <c r="AP104" s="21"/>
      <c r="AQ104" s="65"/>
      <c r="AR104" s="65"/>
    </row>
    <row r="105" spans="1:44">
      <c r="A105" s="20">
        <v>96</v>
      </c>
      <c r="B105" s="34" t="s">
        <v>438</v>
      </c>
      <c r="C105" s="35" t="s">
        <v>115</v>
      </c>
      <c r="D105" s="35" t="s">
        <v>115</v>
      </c>
      <c r="E105" s="35" t="s">
        <v>115</v>
      </c>
      <c r="F105" s="35" t="s">
        <v>115</v>
      </c>
      <c r="G105" s="35" t="s">
        <v>115</v>
      </c>
      <c r="H105" s="35" t="s">
        <v>115</v>
      </c>
      <c r="I105" s="35" t="s">
        <v>115</v>
      </c>
      <c r="J105" s="35" t="s">
        <v>115</v>
      </c>
      <c r="K105" s="85">
        <f>K103+K104</f>
        <v>3000</v>
      </c>
      <c r="L105" s="35"/>
      <c r="M105" s="7"/>
      <c r="N105" s="20">
        <v>96</v>
      </c>
      <c r="O105" s="60" t="s">
        <v>368</v>
      </c>
      <c r="P105" s="61"/>
      <c r="Q105" s="61"/>
      <c r="R105" s="26" t="s">
        <v>369</v>
      </c>
      <c r="S105" s="26">
        <v>1</v>
      </c>
      <c r="T105" s="26" t="s">
        <v>309</v>
      </c>
      <c r="U105" s="26">
        <v>1</v>
      </c>
      <c r="V105" s="26" t="s">
        <v>119</v>
      </c>
      <c r="W105" s="62">
        <v>150</v>
      </c>
      <c r="X105" s="63">
        <f t="shared" si="36"/>
        <v>150</v>
      </c>
      <c r="Y105" s="88">
        <f t="shared" si="35"/>
        <v>0</v>
      </c>
      <c r="Z105" s="21"/>
      <c r="AA105" s="90"/>
      <c r="AB105" s="65"/>
      <c r="AC105" s="7"/>
      <c r="AD105" s="20">
        <v>98</v>
      </c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91"/>
      <c r="AP105" s="21"/>
      <c r="AQ105" s="65"/>
      <c r="AR105" s="65"/>
    </row>
    <row r="106" spans="1:44">
      <c r="A106" s="20">
        <v>97</v>
      </c>
      <c r="B106" s="73" t="s">
        <v>355</v>
      </c>
      <c r="C106" s="9"/>
      <c r="D106" s="9"/>
      <c r="E106" s="26" t="s">
        <v>356</v>
      </c>
      <c r="F106" s="26">
        <v>600</v>
      </c>
      <c r="G106" s="26" t="s">
        <v>309</v>
      </c>
      <c r="H106" s="26">
        <v>2</v>
      </c>
      <c r="I106" s="26" t="s">
        <v>120</v>
      </c>
      <c r="J106" s="62">
        <v>4</v>
      </c>
      <c r="K106" s="63">
        <f t="shared" ref="K106:K113" si="37">F106*H106*J106</f>
        <v>4800</v>
      </c>
      <c r="L106" s="92" t="s">
        <v>356</v>
      </c>
      <c r="M106" s="7"/>
      <c r="N106" s="20">
        <v>97</v>
      </c>
      <c r="O106" s="60" t="s">
        <v>372</v>
      </c>
      <c r="P106" s="61"/>
      <c r="Q106" s="61"/>
      <c r="R106" s="26" t="s">
        <v>373</v>
      </c>
      <c r="S106" s="26">
        <v>160</v>
      </c>
      <c r="T106" s="26" t="s">
        <v>309</v>
      </c>
      <c r="U106" s="26">
        <v>2</v>
      </c>
      <c r="V106" s="26" t="s">
        <v>120</v>
      </c>
      <c r="W106" s="62">
        <v>2.8</v>
      </c>
      <c r="X106" s="63">
        <f t="shared" si="36"/>
        <v>896</v>
      </c>
      <c r="Y106" s="88">
        <f t="shared" si="35"/>
        <v>0</v>
      </c>
      <c r="Z106" s="21"/>
      <c r="AA106" s="90"/>
      <c r="AB106" s="65"/>
      <c r="AC106" s="7"/>
      <c r="AD106" s="20">
        <v>99</v>
      </c>
      <c r="AE106" s="93" t="s">
        <v>439</v>
      </c>
      <c r="AF106" s="94" t="s">
        <v>115</v>
      </c>
      <c r="AG106" s="94" t="s">
        <v>115</v>
      </c>
      <c r="AH106" s="94" t="s">
        <v>115</v>
      </c>
      <c r="AI106" s="94" t="s">
        <v>115</v>
      </c>
      <c r="AJ106" s="94" t="s">
        <v>115</v>
      </c>
      <c r="AK106" s="94" t="s">
        <v>115</v>
      </c>
      <c r="AL106" s="94" t="s">
        <v>115</v>
      </c>
      <c r="AM106" s="94" t="s">
        <v>115</v>
      </c>
      <c r="AN106" s="95">
        <f>SUM(AN104:AN105)</f>
        <v>0</v>
      </c>
      <c r="AO106" s="96">
        <f>SUM(AO104:AO105)</f>
        <v>0</v>
      </c>
      <c r="AP106" s="94"/>
      <c r="AQ106" s="94"/>
      <c r="AR106" s="94"/>
    </row>
    <row r="107" spans="1:44">
      <c r="A107" s="20">
        <v>98</v>
      </c>
      <c r="B107" s="73" t="s">
        <v>358</v>
      </c>
      <c r="C107" s="9"/>
      <c r="D107" s="9"/>
      <c r="E107" s="26" t="s">
        <v>359</v>
      </c>
      <c r="F107" s="26">
        <v>160</v>
      </c>
      <c r="G107" s="26" t="s">
        <v>309</v>
      </c>
      <c r="H107" s="26">
        <v>2</v>
      </c>
      <c r="I107" s="26" t="s">
        <v>120</v>
      </c>
      <c r="J107" s="62">
        <v>30</v>
      </c>
      <c r="K107" s="63">
        <f t="shared" si="37"/>
        <v>9600</v>
      </c>
      <c r="L107" s="92" t="s">
        <v>359</v>
      </c>
      <c r="M107" s="7"/>
      <c r="N107" s="20">
        <v>98</v>
      </c>
      <c r="O107" s="60" t="s">
        <v>377</v>
      </c>
      <c r="P107" s="61"/>
      <c r="Q107" s="61"/>
      <c r="R107" s="26" t="s">
        <v>378</v>
      </c>
      <c r="S107" s="26">
        <v>200</v>
      </c>
      <c r="T107" s="26" t="s">
        <v>309</v>
      </c>
      <c r="U107" s="26">
        <v>2</v>
      </c>
      <c r="V107" s="26" t="s">
        <v>120</v>
      </c>
      <c r="W107" s="62">
        <v>6</v>
      </c>
      <c r="X107" s="63">
        <f t="shared" si="36"/>
        <v>2400</v>
      </c>
      <c r="Y107" s="88">
        <f t="shared" si="35"/>
        <v>0</v>
      </c>
      <c r="Z107" s="21"/>
      <c r="AA107" s="90"/>
      <c r="AB107" s="65"/>
      <c r="AC107" s="7"/>
      <c r="AD107" s="20">
        <v>100</v>
      </c>
      <c r="AE107" s="97" t="s">
        <v>440</v>
      </c>
      <c r="AF107" s="98" t="s">
        <v>115</v>
      </c>
      <c r="AG107" s="98" t="s">
        <v>115</v>
      </c>
      <c r="AH107" s="98" t="s">
        <v>115</v>
      </c>
      <c r="AI107" s="98" t="s">
        <v>115</v>
      </c>
      <c r="AJ107" s="98" t="s">
        <v>115</v>
      </c>
      <c r="AK107" s="98" t="s">
        <v>115</v>
      </c>
      <c r="AL107" s="98" t="s">
        <v>115</v>
      </c>
      <c r="AM107" s="98" t="s">
        <v>115</v>
      </c>
      <c r="AN107" s="99">
        <f>AN106+AN103+AN100+AN97+AN92+AN88+AN16</f>
        <v>18968.2</v>
      </c>
      <c r="AO107" s="98"/>
      <c r="AP107" s="100"/>
      <c r="AQ107" s="100"/>
      <c r="AR107" s="100"/>
    </row>
    <row r="108" spans="1:44">
      <c r="A108" s="20">
        <v>99</v>
      </c>
      <c r="B108" s="73" t="s">
        <v>364</v>
      </c>
      <c r="C108" s="9"/>
      <c r="D108" s="9"/>
      <c r="E108" s="26" t="s">
        <v>365</v>
      </c>
      <c r="F108" s="26">
        <v>160</v>
      </c>
      <c r="G108" s="26" t="s">
        <v>309</v>
      </c>
      <c r="H108" s="26">
        <v>2</v>
      </c>
      <c r="I108" s="26" t="s">
        <v>120</v>
      </c>
      <c r="J108" s="62">
        <v>3.5</v>
      </c>
      <c r="K108" s="63">
        <f t="shared" si="37"/>
        <v>1120</v>
      </c>
      <c r="L108" s="92" t="s">
        <v>365</v>
      </c>
      <c r="M108" s="7"/>
      <c r="N108" s="20">
        <v>99</v>
      </c>
      <c r="O108" s="60" t="s">
        <v>379</v>
      </c>
      <c r="P108" s="61"/>
      <c r="Q108" s="61"/>
      <c r="R108" s="26" t="s">
        <v>379</v>
      </c>
      <c r="S108" s="26">
        <v>1</v>
      </c>
      <c r="T108" s="26" t="s">
        <v>309</v>
      </c>
      <c r="U108" s="26">
        <v>1</v>
      </c>
      <c r="V108" s="26" t="s">
        <v>119</v>
      </c>
      <c r="W108" s="62">
        <v>150</v>
      </c>
      <c r="X108" s="63">
        <f t="shared" si="36"/>
        <v>150</v>
      </c>
      <c r="Y108" s="88">
        <f t="shared" si="35"/>
        <v>0</v>
      </c>
      <c r="Z108" s="21"/>
      <c r="AA108" s="90"/>
      <c r="AB108" s="65"/>
      <c r="AC108" s="7"/>
      <c r="AD108" s="20">
        <v>101</v>
      </c>
      <c r="AE108" s="97" t="s">
        <v>441</v>
      </c>
      <c r="AF108" s="98" t="s">
        <v>115</v>
      </c>
      <c r="AG108" s="98" t="s">
        <v>115</v>
      </c>
      <c r="AH108" s="98" t="s">
        <v>115</v>
      </c>
      <c r="AI108" s="98" t="s">
        <v>115</v>
      </c>
      <c r="AJ108" s="98" t="s">
        <v>115</v>
      </c>
      <c r="AK108" s="98" t="s">
        <v>115</v>
      </c>
      <c r="AL108" s="98" t="s">
        <v>115</v>
      </c>
      <c r="AM108" s="98" t="s">
        <v>115</v>
      </c>
      <c r="AN108" s="99">
        <f>(AN71+AN59+AN56)*0.9</f>
        <v>70296.4615177359</v>
      </c>
      <c r="AO108" s="98"/>
      <c r="AP108" s="100"/>
      <c r="AQ108" s="100"/>
      <c r="AR108" s="100"/>
    </row>
    <row r="109" spans="1:44">
      <c r="A109" s="20">
        <v>100</v>
      </c>
      <c r="B109" s="73" t="s">
        <v>368</v>
      </c>
      <c r="C109" s="9"/>
      <c r="D109" s="9"/>
      <c r="E109" s="26" t="s">
        <v>369</v>
      </c>
      <c r="F109" s="26">
        <v>1</v>
      </c>
      <c r="G109" s="26" t="s">
        <v>309</v>
      </c>
      <c r="H109" s="26">
        <v>1</v>
      </c>
      <c r="I109" s="26" t="s">
        <v>119</v>
      </c>
      <c r="J109" s="62">
        <v>150</v>
      </c>
      <c r="K109" s="63">
        <f t="shared" si="37"/>
        <v>150</v>
      </c>
      <c r="L109" s="92" t="s">
        <v>369</v>
      </c>
      <c r="M109" s="7"/>
      <c r="N109" s="20">
        <v>100</v>
      </c>
      <c r="O109" s="60" t="s">
        <v>380</v>
      </c>
      <c r="P109" s="61"/>
      <c r="Q109" s="61"/>
      <c r="R109" s="26" t="s">
        <v>380</v>
      </c>
      <c r="S109" s="26">
        <v>10</v>
      </c>
      <c r="T109" s="26" t="s">
        <v>309</v>
      </c>
      <c r="U109" s="26">
        <v>1</v>
      </c>
      <c r="V109" s="26" t="s">
        <v>119</v>
      </c>
      <c r="W109" s="62">
        <v>30</v>
      </c>
      <c r="X109" s="63">
        <f t="shared" si="36"/>
        <v>300</v>
      </c>
      <c r="Y109" s="88">
        <f t="shared" si="35"/>
        <v>0</v>
      </c>
      <c r="Z109" s="21"/>
      <c r="AA109" s="90"/>
      <c r="AB109" s="65"/>
      <c r="AC109" s="7"/>
      <c r="AD109" s="20">
        <v>102</v>
      </c>
      <c r="AE109" s="97" t="s">
        <v>81</v>
      </c>
      <c r="AF109" s="98" t="s">
        <v>115</v>
      </c>
      <c r="AG109" s="98" t="s">
        <v>115</v>
      </c>
      <c r="AH109" s="98" t="s">
        <v>115</v>
      </c>
      <c r="AI109" s="98" t="s">
        <v>115</v>
      </c>
      <c r="AJ109" s="98" t="s">
        <v>115</v>
      </c>
      <c r="AK109" s="98" t="s">
        <v>115</v>
      </c>
      <c r="AL109" s="98" t="s">
        <v>115</v>
      </c>
      <c r="AM109" s="101">
        <v>0.1</v>
      </c>
      <c r="AN109" s="99">
        <f>(AN107+AN108)*0.1</f>
        <v>8926.46615177359</v>
      </c>
      <c r="AO109" s="98"/>
      <c r="AP109" s="100"/>
      <c r="AQ109" s="100"/>
      <c r="AR109" s="100"/>
    </row>
    <row r="110" spans="1:44">
      <c r="A110" s="20">
        <v>101</v>
      </c>
      <c r="B110" s="73" t="s">
        <v>372</v>
      </c>
      <c r="C110" s="9"/>
      <c r="D110" s="9"/>
      <c r="E110" s="26" t="s">
        <v>373</v>
      </c>
      <c r="F110" s="26">
        <v>160</v>
      </c>
      <c r="G110" s="26" t="s">
        <v>309</v>
      </c>
      <c r="H110" s="26">
        <v>2</v>
      </c>
      <c r="I110" s="26" t="s">
        <v>120</v>
      </c>
      <c r="J110" s="62">
        <v>2.8</v>
      </c>
      <c r="K110" s="63">
        <f t="shared" si="37"/>
        <v>896</v>
      </c>
      <c r="L110" s="92" t="s">
        <v>373</v>
      </c>
      <c r="M110" s="7"/>
      <c r="N110" s="20">
        <v>101</v>
      </c>
      <c r="O110" s="60" t="s">
        <v>382</v>
      </c>
      <c r="P110" s="61"/>
      <c r="Q110" s="61"/>
      <c r="R110" s="26" t="s">
        <v>383</v>
      </c>
      <c r="S110" s="26">
        <v>1</v>
      </c>
      <c r="T110" s="26" t="s">
        <v>119</v>
      </c>
      <c r="U110" s="26">
        <v>1</v>
      </c>
      <c r="V110" s="26" t="s">
        <v>119</v>
      </c>
      <c r="W110" s="62">
        <v>300</v>
      </c>
      <c r="X110" s="63">
        <f t="shared" si="36"/>
        <v>300</v>
      </c>
      <c r="Y110" s="88">
        <f>X110-0</f>
        <v>300</v>
      </c>
      <c r="Z110" s="60" t="s">
        <v>89</v>
      </c>
      <c r="AA110" s="90"/>
      <c r="AB110" s="65"/>
      <c r="AC110" s="7"/>
      <c r="AD110" s="20">
        <v>103</v>
      </c>
      <c r="AE110" s="97" t="s">
        <v>82</v>
      </c>
      <c r="AF110" s="98" t="s">
        <v>115</v>
      </c>
      <c r="AG110" s="98" t="s">
        <v>115</v>
      </c>
      <c r="AH110" s="98" t="s">
        <v>115</v>
      </c>
      <c r="AI110" s="98" t="s">
        <v>115</v>
      </c>
      <c r="AJ110" s="98" t="s">
        <v>115</v>
      </c>
      <c r="AK110" s="98" t="s">
        <v>115</v>
      </c>
      <c r="AL110" s="98" t="s">
        <v>115</v>
      </c>
      <c r="AM110" s="101">
        <v>0.06</v>
      </c>
      <c r="AN110" s="99">
        <f>(AN107+AN108+AN109)*0.06</f>
        <v>5891.46766017057</v>
      </c>
      <c r="AO110" s="98"/>
      <c r="AP110" s="100"/>
      <c r="AQ110" s="100"/>
      <c r="AR110" s="100"/>
    </row>
    <row r="111" spans="1:44">
      <c r="A111" s="20">
        <v>102</v>
      </c>
      <c r="B111" s="73" t="s">
        <v>377</v>
      </c>
      <c r="C111" s="9"/>
      <c r="D111" s="9"/>
      <c r="E111" s="26" t="s">
        <v>378</v>
      </c>
      <c r="F111" s="26">
        <v>200</v>
      </c>
      <c r="G111" s="26" t="s">
        <v>309</v>
      </c>
      <c r="H111" s="26">
        <v>2</v>
      </c>
      <c r="I111" s="26" t="s">
        <v>120</v>
      </c>
      <c r="J111" s="62">
        <v>6</v>
      </c>
      <c r="K111" s="63">
        <f t="shared" si="37"/>
        <v>2400</v>
      </c>
      <c r="L111" s="92" t="s">
        <v>378</v>
      </c>
      <c r="M111" s="7"/>
      <c r="N111" s="20">
        <v>102</v>
      </c>
      <c r="O111" s="9"/>
      <c r="P111" s="9"/>
      <c r="Q111" s="9"/>
      <c r="R111" s="9"/>
      <c r="S111" s="9"/>
      <c r="T111" s="9"/>
      <c r="U111" s="9"/>
      <c r="V111" s="9"/>
      <c r="W111" s="9"/>
      <c r="X111" s="53"/>
      <c r="Y111" s="21"/>
      <c r="Z111" s="21"/>
      <c r="AA111" s="53"/>
      <c r="AB111" s="53"/>
      <c r="AC111" s="7"/>
      <c r="AD111" s="20">
        <v>104</v>
      </c>
      <c r="AE111" s="97" t="s">
        <v>83</v>
      </c>
      <c r="AF111" s="98" t="s">
        <v>115</v>
      </c>
      <c r="AG111" s="98" t="s">
        <v>115</v>
      </c>
      <c r="AH111" s="98" t="s">
        <v>115</v>
      </c>
      <c r="AI111" s="98" t="s">
        <v>115</v>
      </c>
      <c r="AJ111" s="98" t="s">
        <v>115</v>
      </c>
      <c r="AK111" s="98" t="s">
        <v>115</v>
      </c>
      <c r="AL111" s="98" t="s">
        <v>115</v>
      </c>
      <c r="AM111" s="98" t="s">
        <v>115</v>
      </c>
      <c r="AN111" s="102">
        <f>AN107+AN108+AN109+AN110</f>
        <v>104082.59532968</v>
      </c>
      <c r="AO111" s="98"/>
      <c r="AP111" s="100"/>
      <c r="AQ111" s="100"/>
      <c r="AR111" s="100"/>
    </row>
    <row r="112" spans="1:44">
      <c r="A112" s="20">
        <v>103</v>
      </c>
      <c r="B112" s="73" t="s">
        <v>379</v>
      </c>
      <c r="C112" s="9"/>
      <c r="D112" s="9"/>
      <c r="E112" s="26" t="s">
        <v>379</v>
      </c>
      <c r="F112" s="26">
        <v>1</v>
      </c>
      <c r="G112" s="26" t="s">
        <v>309</v>
      </c>
      <c r="H112" s="26">
        <v>1</v>
      </c>
      <c r="I112" s="26" t="s">
        <v>119</v>
      </c>
      <c r="J112" s="62">
        <v>150</v>
      </c>
      <c r="K112" s="63">
        <f t="shared" si="37"/>
        <v>150</v>
      </c>
      <c r="L112" s="92" t="s">
        <v>379</v>
      </c>
      <c r="M112" s="7"/>
      <c r="N112" s="20">
        <v>103</v>
      </c>
      <c r="O112" s="36" t="s">
        <v>401</v>
      </c>
      <c r="P112" s="37" t="s">
        <v>115</v>
      </c>
      <c r="Q112" s="37" t="s">
        <v>115</v>
      </c>
      <c r="R112" s="37" t="s">
        <v>115</v>
      </c>
      <c r="S112" s="37" t="s">
        <v>115</v>
      </c>
      <c r="T112" s="37" t="s">
        <v>115</v>
      </c>
      <c r="U112" s="37" t="s">
        <v>115</v>
      </c>
      <c r="V112" s="37" t="s">
        <v>115</v>
      </c>
      <c r="W112" s="37" t="s">
        <v>115</v>
      </c>
      <c r="X112" s="103">
        <f>SUM(X102:X110)</f>
        <v>11416</v>
      </c>
      <c r="Y112" s="104">
        <f>SUM(Y102:Y110)</f>
        <v>-8000</v>
      </c>
      <c r="Z112" s="37"/>
      <c r="AA112" s="37"/>
      <c r="AB112" s="37"/>
      <c r="AC112" s="7"/>
      <c r="AD112" s="20">
        <v>105</v>
      </c>
      <c r="AE112" s="97" t="s">
        <v>84</v>
      </c>
      <c r="AF112" s="98" t="s">
        <v>115</v>
      </c>
      <c r="AG112" s="98" t="s">
        <v>115</v>
      </c>
      <c r="AH112" s="98" t="s">
        <v>115</v>
      </c>
      <c r="AI112" s="98" t="s">
        <v>115</v>
      </c>
      <c r="AJ112" s="98" t="s">
        <v>115</v>
      </c>
      <c r="AK112" s="98" t="s">
        <v>115</v>
      </c>
      <c r="AL112" s="98" t="s">
        <v>115</v>
      </c>
      <c r="AM112" s="98" t="s">
        <v>115</v>
      </c>
      <c r="AN112" s="98">
        <v>104000</v>
      </c>
      <c r="AO112" s="98" t="s">
        <v>442</v>
      </c>
      <c r="AP112" s="100"/>
      <c r="AQ112" s="100"/>
      <c r="AR112" s="100"/>
    </row>
    <row r="113" spans="1:44">
      <c r="A113" s="20">
        <v>104</v>
      </c>
      <c r="B113" s="73" t="s">
        <v>380</v>
      </c>
      <c r="C113" s="9"/>
      <c r="D113" s="9"/>
      <c r="E113" s="26" t="s">
        <v>380</v>
      </c>
      <c r="F113" s="26">
        <v>10</v>
      </c>
      <c r="G113" s="26" t="s">
        <v>309</v>
      </c>
      <c r="H113" s="26">
        <v>1</v>
      </c>
      <c r="I113" s="26" t="s">
        <v>119</v>
      </c>
      <c r="J113" s="62">
        <v>30</v>
      </c>
      <c r="K113" s="63">
        <f t="shared" si="37"/>
        <v>300</v>
      </c>
      <c r="L113" s="92" t="s">
        <v>443</v>
      </c>
      <c r="M113" s="7"/>
      <c r="N113" s="20">
        <v>104</v>
      </c>
      <c r="O113" s="9" t="s">
        <v>113</v>
      </c>
      <c r="P113" s="9"/>
      <c r="Q113" s="9"/>
      <c r="R113" s="9"/>
      <c r="S113" s="9"/>
      <c r="T113" s="9"/>
      <c r="U113" s="9"/>
      <c r="V113" s="9"/>
      <c r="W113" s="9"/>
      <c r="X113" s="53"/>
      <c r="Y113" s="21"/>
      <c r="Z113" s="21"/>
      <c r="AA113" s="53"/>
      <c r="AB113" s="53"/>
      <c r="AC113" s="7"/>
      <c r="AD113" s="20">
        <v>106</v>
      </c>
      <c r="AE113" s="105" t="s">
        <v>444</v>
      </c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0"/>
      <c r="AQ113" s="100"/>
      <c r="AR113" s="100"/>
    </row>
    <row r="114" spans="1:44">
      <c r="A114" s="20">
        <v>105</v>
      </c>
      <c r="B114" s="9" t="s">
        <v>113</v>
      </c>
      <c r="C114" s="9"/>
      <c r="D114" s="9"/>
      <c r="E114" s="9"/>
      <c r="F114" s="9"/>
      <c r="G114" s="9"/>
      <c r="H114" s="9"/>
      <c r="I114" s="9"/>
      <c r="J114" s="9"/>
      <c r="K114" s="53"/>
      <c r="L114" s="53"/>
      <c r="M114" s="7"/>
      <c r="N114" s="20">
        <v>105</v>
      </c>
      <c r="O114" s="9" t="s">
        <v>113</v>
      </c>
      <c r="P114" s="9"/>
      <c r="Q114" s="9"/>
      <c r="R114" s="9"/>
      <c r="S114" s="9"/>
      <c r="T114" s="9"/>
      <c r="U114" s="9"/>
      <c r="V114" s="9"/>
      <c r="W114" s="9"/>
      <c r="X114" s="53"/>
      <c r="Y114" s="21">
        <f>K90-X114</f>
        <v>0</v>
      </c>
      <c r="Z114" s="21"/>
      <c r="AA114" s="53"/>
      <c r="AB114" s="53"/>
      <c r="AC114" s="7"/>
      <c r="AD114" s="20">
        <v>107</v>
      </c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107"/>
      <c r="AP114" s="7"/>
      <c r="AQ114" s="7"/>
      <c r="AR114" s="7"/>
    </row>
    <row r="115" spans="1:44">
      <c r="A115" s="20">
        <v>106</v>
      </c>
      <c r="B115" s="34" t="s">
        <v>439</v>
      </c>
      <c r="C115" s="35" t="s">
        <v>115</v>
      </c>
      <c r="D115" s="35" t="s">
        <v>115</v>
      </c>
      <c r="E115" s="35" t="s">
        <v>115</v>
      </c>
      <c r="F115" s="35" t="s">
        <v>115</v>
      </c>
      <c r="G115" s="35" t="s">
        <v>115</v>
      </c>
      <c r="H115" s="35" t="s">
        <v>115</v>
      </c>
      <c r="I115" s="35" t="s">
        <v>115</v>
      </c>
      <c r="J115" s="35" t="s">
        <v>115</v>
      </c>
      <c r="K115" s="108">
        <f>SUM(K106:K113)</f>
        <v>19416</v>
      </c>
      <c r="L115" s="35"/>
      <c r="M115" s="7"/>
      <c r="N115" s="20">
        <v>106</v>
      </c>
      <c r="O115" s="9" t="s">
        <v>113</v>
      </c>
      <c r="P115" s="9"/>
      <c r="Q115" s="9"/>
      <c r="R115" s="9"/>
      <c r="S115" s="9"/>
      <c r="T115" s="9"/>
      <c r="U115" s="9"/>
      <c r="V115" s="9"/>
      <c r="W115" s="9"/>
      <c r="X115" s="53"/>
      <c r="Y115" s="21">
        <f>K90-X115</f>
        <v>0</v>
      </c>
      <c r="Z115" s="21"/>
      <c r="AA115" s="53"/>
      <c r="AB115" s="53"/>
      <c r="AC115" s="7"/>
      <c r="AD115" s="20">
        <v>107</v>
      </c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107"/>
      <c r="AP115" s="7"/>
      <c r="AQ115" s="7"/>
      <c r="AR115" s="7"/>
    </row>
    <row r="116" spans="1:44">
      <c r="A116" s="20">
        <v>107</v>
      </c>
      <c r="B116" s="109" t="s">
        <v>440</v>
      </c>
      <c r="C116" s="35" t="s">
        <v>115</v>
      </c>
      <c r="D116" s="35" t="s">
        <v>115</v>
      </c>
      <c r="E116" s="35" t="s">
        <v>115</v>
      </c>
      <c r="F116" s="35" t="s">
        <v>115</v>
      </c>
      <c r="G116" s="35" t="s">
        <v>115</v>
      </c>
      <c r="H116" s="35" t="s">
        <v>115</v>
      </c>
      <c r="I116" s="35" t="s">
        <v>115</v>
      </c>
      <c r="J116" s="35" t="s">
        <v>115</v>
      </c>
      <c r="K116" s="85">
        <f>K115+K105+K102+K99+K18+K13+K10</f>
        <v>48543.785</v>
      </c>
      <c r="L116" s="35"/>
      <c r="M116" s="7"/>
      <c r="N116" s="20">
        <v>107</v>
      </c>
      <c r="O116" s="36" t="s">
        <v>402</v>
      </c>
      <c r="P116" s="37" t="s">
        <v>115</v>
      </c>
      <c r="Q116" s="37" t="s">
        <v>115</v>
      </c>
      <c r="R116" s="37" t="s">
        <v>115</v>
      </c>
      <c r="S116" s="37" t="s">
        <v>115</v>
      </c>
      <c r="T116" s="37" t="s">
        <v>115</v>
      </c>
      <c r="U116" s="37" t="s">
        <v>115</v>
      </c>
      <c r="V116" s="37" t="s">
        <v>115</v>
      </c>
      <c r="W116" s="37" t="s">
        <v>115</v>
      </c>
      <c r="X116" s="37"/>
      <c r="Y116" s="37"/>
      <c r="Z116" s="37"/>
      <c r="AA116" s="37"/>
      <c r="AB116" s="37"/>
      <c r="AC116" s="7"/>
      <c r="AD116" s="110">
        <v>108</v>
      </c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107"/>
      <c r="AP116" s="7"/>
      <c r="AQ116" s="7"/>
      <c r="AR116" s="7"/>
    </row>
    <row r="117" spans="1:44">
      <c r="A117" s="110">
        <v>108</v>
      </c>
      <c r="B117" s="111" t="s">
        <v>441</v>
      </c>
      <c r="C117" s="112" t="s">
        <v>115</v>
      </c>
      <c r="D117" s="112" t="s">
        <v>115</v>
      </c>
      <c r="E117" s="112" t="s">
        <v>115</v>
      </c>
      <c r="F117" s="112" t="s">
        <v>115</v>
      </c>
      <c r="G117" s="112" t="s">
        <v>115</v>
      </c>
      <c r="H117" s="112" t="s">
        <v>115</v>
      </c>
      <c r="I117" s="112" t="s">
        <v>115</v>
      </c>
      <c r="J117" s="112" t="s">
        <v>115</v>
      </c>
      <c r="K117" s="113">
        <f>(K87+K79+K72)*0.9</f>
        <v>112059.983632075</v>
      </c>
      <c r="L117" s="112"/>
      <c r="M117" s="7"/>
      <c r="N117" s="20">
        <v>108</v>
      </c>
      <c r="O117" s="73" t="s">
        <v>45</v>
      </c>
      <c r="P117" s="26" t="s">
        <v>403</v>
      </c>
      <c r="Q117" s="26" t="s">
        <v>404</v>
      </c>
      <c r="R117" s="40" t="s">
        <v>405</v>
      </c>
      <c r="S117" s="40">
        <v>1</v>
      </c>
      <c r="T117" s="26" t="s">
        <v>406</v>
      </c>
      <c r="U117" s="26">
        <v>1</v>
      </c>
      <c r="V117" s="26" t="s">
        <v>120</v>
      </c>
      <c r="W117" s="54">
        <v>2000</v>
      </c>
      <c r="X117" s="55">
        <f>S117*U117*W117</f>
        <v>2000</v>
      </c>
      <c r="Y117" s="56">
        <f t="shared" ref="Y117:Y122" si="38">X117-K92</f>
        <v>0</v>
      </c>
      <c r="Z117" s="21"/>
      <c r="AA117" s="53"/>
      <c r="AB117" s="53"/>
      <c r="AC117" s="7"/>
      <c r="AD117" s="10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107"/>
      <c r="AP117" s="7"/>
      <c r="AQ117" s="7"/>
      <c r="AR117" s="7"/>
    </row>
    <row r="118" ht="46" customHeight="1" spans="1:44">
      <c r="A118" s="91">
        <v>109</v>
      </c>
      <c r="B118" s="114" t="s">
        <v>81</v>
      </c>
      <c r="C118" s="57" t="s">
        <v>115</v>
      </c>
      <c r="D118" s="57" t="s">
        <v>115</v>
      </c>
      <c r="E118" s="57" t="s">
        <v>115</v>
      </c>
      <c r="F118" s="57" t="s">
        <v>115</v>
      </c>
      <c r="G118" s="57" t="s">
        <v>115</v>
      </c>
      <c r="H118" s="57" t="s">
        <v>115</v>
      </c>
      <c r="I118" s="57" t="s">
        <v>115</v>
      </c>
      <c r="J118" s="115">
        <v>0.1</v>
      </c>
      <c r="K118" s="116">
        <f>(K116+K117)*J118</f>
        <v>16060.3768632075</v>
      </c>
      <c r="L118" s="57"/>
      <c r="M118" s="7"/>
      <c r="N118" s="20">
        <v>109</v>
      </c>
      <c r="O118" s="73" t="s">
        <v>45</v>
      </c>
      <c r="P118" s="26" t="s">
        <v>407</v>
      </c>
      <c r="Q118" s="26" t="s">
        <v>404</v>
      </c>
      <c r="R118" s="40" t="s">
        <v>408</v>
      </c>
      <c r="S118" s="40">
        <v>1</v>
      </c>
      <c r="T118" s="26" t="s">
        <v>406</v>
      </c>
      <c r="U118" s="26">
        <v>1</v>
      </c>
      <c r="V118" s="26" t="s">
        <v>120</v>
      </c>
      <c r="W118" s="54">
        <v>1457.545</v>
      </c>
      <c r="X118" s="55">
        <f>S118*U118*W118</f>
        <v>1457.545</v>
      </c>
      <c r="Y118" s="56">
        <f t="shared" si="38"/>
        <v>0</v>
      </c>
      <c r="Z118" s="21"/>
      <c r="AA118" s="53"/>
      <c r="AB118" s="53"/>
      <c r="AC118" s="7"/>
      <c r="AD118" s="10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107"/>
      <c r="AP118" s="7"/>
      <c r="AQ118" s="7"/>
      <c r="AR118" s="7"/>
    </row>
    <row r="119" ht="28" spans="1:44">
      <c r="A119" s="91">
        <v>110</v>
      </c>
      <c r="B119" s="114" t="s">
        <v>82</v>
      </c>
      <c r="C119" s="57" t="s">
        <v>115</v>
      </c>
      <c r="D119" s="57" t="s">
        <v>115</v>
      </c>
      <c r="E119" s="57" t="s">
        <v>115</v>
      </c>
      <c r="F119" s="57" t="s">
        <v>115</v>
      </c>
      <c r="G119" s="57" t="s">
        <v>115</v>
      </c>
      <c r="H119" s="57" t="s">
        <v>115</v>
      </c>
      <c r="I119" s="57" t="s">
        <v>115</v>
      </c>
      <c r="J119" s="115">
        <v>0.06</v>
      </c>
      <c r="K119" s="116">
        <f>(K116+K117+K118)*J119</f>
        <v>10599.848729717</v>
      </c>
      <c r="L119" s="57"/>
      <c r="M119" s="7"/>
      <c r="N119" s="20">
        <v>110</v>
      </c>
      <c r="O119" s="73" t="s">
        <v>45</v>
      </c>
      <c r="P119" s="26" t="s">
        <v>414</v>
      </c>
      <c r="Q119" s="26" t="s">
        <v>404</v>
      </c>
      <c r="R119" s="40" t="s">
        <v>415</v>
      </c>
      <c r="S119" s="40">
        <v>1</v>
      </c>
      <c r="T119" s="26" t="s">
        <v>406</v>
      </c>
      <c r="U119" s="26">
        <v>1</v>
      </c>
      <c r="V119" s="26" t="s">
        <v>120</v>
      </c>
      <c r="W119" s="54">
        <v>1625</v>
      </c>
      <c r="X119" s="55">
        <f>S119*U119*W119</f>
        <v>1625</v>
      </c>
      <c r="Y119" s="56">
        <f t="shared" si="38"/>
        <v>0</v>
      </c>
      <c r="Z119" s="21"/>
      <c r="AA119" s="53"/>
      <c r="AB119" s="53"/>
      <c r="AC119" s="7"/>
      <c r="AD119" s="10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107"/>
      <c r="AP119" s="7"/>
      <c r="AQ119" s="7"/>
      <c r="AR119" s="7"/>
    </row>
    <row r="120" spans="1:44">
      <c r="A120" s="91">
        <v>111</v>
      </c>
      <c r="B120" s="114" t="s">
        <v>83</v>
      </c>
      <c r="C120" s="57" t="s">
        <v>115</v>
      </c>
      <c r="D120" s="57" t="s">
        <v>115</v>
      </c>
      <c r="E120" s="57" t="s">
        <v>115</v>
      </c>
      <c r="F120" s="57" t="s">
        <v>115</v>
      </c>
      <c r="G120" s="57" t="s">
        <v>115</v>
      </c>
      <c r="H120" s="57" t="s">
        <v>115</v>
      </c>
      <c r="I120" s="57" t="s">
        <v>115</v>
      </c>
      <c r="J120" s="57" t="s">
        <v>115</v>
      </c>
      <c r="K120" s="117">
        <f>K116+K117+K118+K119</f>
        <v>187263.994225</v>
      </c>
      <c r="L120" s="57"/>
      <c r="M120" s="7"/>
      <c r="N120" s="20">
        <v>111</v>
      </c>
      <c r="O120" s="73" t="s">
        <v>409</v>
      </c>
      <c r="P120" s="26" t="s">
        <v>410</v>
      </c>
      <c r="Q120" s="26" t="s">
        <v>404</v>
      </c>
      <c r="R120" s="40" t="s">
        <v>411</v>
      </c>
      <c r="S120" s="40">
        <v>4</v>
      </c>
      <c r="T120" s="26" t="s">
        <v>412</v>
      </c>
      <c r="U120" s="26">
        <v>4</v>
      </c>
      <c r="V120" s="26" t="s">
        <v>120</v>
      </c>
      <c r="W120" s="54">
        <v>28.3</v>
      </c>
      <c r="X120" s="55">
        <f t="shared" ref="X120:X122" si="39">S120*U120*W120</f>
        <v>452.8</v>
      </c>
      <c r="Y120" s="56">
        <f t="shared" si="38"/>
        <v>-226.4</v>
      </c>
      <c r="Z120" s="21" t="s">
        <v>92</v>
      </c>
      <c r="AA120" s="53"/>
      <c r="AB120" s="53" t="s">
        <v>445</v>
      </c>
      <c r="AC120" s="7"/>
      <c r="AD120" s="10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07"/>
      <c r="AP120" s="7"/>
      <c r="AQ120" s="7"/>
      <c r="AR120" s="7"/>
    </row>
    <row r="121" spans="1:44">
      <c r="A121" s="91">
        <v>112</v>
      </c>
      <c r="B121" s="114" t="s">
        <v>84</v>
      </c>
      <c r="C121" s="57" t="s">
        <v>115</v>
      </c>
      <c r="D121" s="57" t="s">
        <v>115</v>
      </c>
      <c r="E121" s="57" t="s">
        <v>115</v>
      </c>
      <c r="F121" s="57" t="s">
        <v>115</v>
      </c>
      <c r="G121" s="57" t="s">
        <v>115</v>
      </c>
      <c r="H121" s="57" t="s">
        <v>115</v>
      </c>
      <c r="I121" s="57" t="s">
        <v>115</v>
      </c>
      <c r="J121" s="57" t="s">
        <v>115</v>
      </c>
      <c r="K121" s="57"/>
      <c r="L121" s="57"/>
      <c r="M121" s="7"/>
      <c r="N121" s="20">
        <v>112</v>
      </c>
      <c r="O121" s="73" t="s">
        <v>417</v>
      </c>
      <c r="P121" s="26" t="s">
        <v>418</v>
      </c>
      <c r="Q121" s="26" t="s">
        <v>404</v>
      </c>
      <c r="R121" s="26" t="s">
        <v>419</v>
      </c>
      <c r="S121" s="40">
        <v>2</v>
      </c>
      <c r="T121" s="26" t="s">
        <v>420</v>
      </c>
      <c r="U121" s="26">
        <v>3</v>
      </c>
      <c r="V121" s="26" t="s">
        <v>120</v>
      </c>
      <c r="W121" s="54">
        <v>300</v>
      </c>
      <c r="X121" s="55">
        <f t="shared" si="39"/>
        <v>1800</v>
      </c>
      <c r="Y121" s="56">
        <f t="shared" si="38"/>
        <v>0</v>
      </c>
      <c r="Z121" s="21"/>
      <c r="AA121" s="53"/>
      <c r="AB121" s="53" t="s">
        <v>446</v>
      </c>
      <c r="AC121" s="7"/>
      <c r="AD121" s="10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107"/>
      <c r="AP121" s="7"/>
      <c r="AQ121" s="7"/>
      <c r="AR121" s="7"/>
    </row>
    <row r="122" ht="18" customHeight="1" spans="1:44">
      <c r="A122" s="91">
        <v>113</v>
      </c>
      <c r="B122" s="118" t="s">
        <v>444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7"/>
      <c r="N122" s="20">
        <v>113</v>
      </c>
      <c r="O122" s="73" t="s">
        <v>423</v>
      </c>
      <c r="P122" s="26" t="s">
        <v>424</v>
      </c>
      <c r="Q122" s="26" t="s">
        <v>404</v>
      </c>
      <c r="R122" s="26" t="s">
        <v>425</v>
      </c>
      <c r="S122" s="26">
        <v>2</v>
      </c>
      <c r="T122" s="26" t="s">
        <v>271</v>
      </c>
      <c r="U122" s="26">
        <v>4</v>
      </c>
      <c r="V122" s="26" t="s">
        <v>120</v>
      </c>
      <c r="W122" s="54">
        <v>47.17</v>
      </c>
      <c r="X122" s="55">
        <f t="shared" si="39"/>
        <v>377.36</v>
      </c>
      <c r="Y122" s="56">
        <f t="shared" si="38"/>
        <v>-188.68</v>
      </c>
      <c r="Z122" s="21" t="s">
        <v>92</v>
      </c>
      <c r="AA122" s="53"/>
      <c r="AB122" s="53" t="s">
        <v>447</v>
      </c>
      <c r="AC122" s="7"/>
      <c r="AD122" s="10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107"/>
      <c r="AP122" s="7"/>
      <c r="AQ122" s="7"/>
      <c r="AR122" s="7"/>
    </row>
    <row r="123" spans="1:44">
      <c r="A123" s="10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20">
        <v>114</v>
      </c>
      <c r="O123" s="36" t="s">
        <v>428</v>
      </c>
      <c r="P123" s="37" t="s">
        <v>115</v>
      </c>
      <c r="Q123" s="37" t="s">
        <v>115</v>
      </c>
      <c r="R123" s="37" t="s">
        <v>115</v>
      </c>
      <c r="S123" s="37" t="s">
        <v>115</v>
      </c>
      <c r="T123" s="37" t="s">
        <v>115</v>
      </c>
      <c r="U123" s="37" t="s">
        <v>115</v>
      </c>
      <c r="V123" s="37" t="s">
        <v>115</v>
      </c>
      <c r="W123" s="37" t="s">
        <v>115</v>
      </c>
      <c r="X123" s="74">
        <f>SUM(X117:X122)</f>
        <v>7712.705</v>
      </c>
      <c r="Y123" s="75">
        <f>SUM(Y117:Y122)</f>
        <v>-415.08</v>
      </c>
      <c r="Z123" s="37"/>
      <c r="AA123" s="37"/>
      <c r="AB123" s="37"/>
      <c r="AC123" s="7"/>
      <c r="AD123" s="10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107"/>
      <c r="AP123" s="7"/>
      <c r="AQ123" s="7"/>
      <c r="AR123" s="7"/>
    </row>
    <row r="124" spans="1:44">
      <c r="A124" s="10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20">
        <v>115</v>
      </c>
      <c r="O124" s="73" t="s">
        <v>429</v>
      </c>
      <c r="P124" s="9"/>
      <c r="Q124" s="9"/>
      <c r="R124" s="73" t="s">
        <v>430</v>
      </c>
      <c r="S124" s="40">
        <v>2</v>
      </c>
      <c r="T124" s="26" t="s">
        <v>344</v>
      </c>
      <c r="U124" s="26">
        <v>2</v>
      </c>
      <c r="V124" s="26" t="s">
        <v>431</v>
      </c>
      <c r="W124" s="54">
        <v>1000</v>
      </c>
      <c r="X124" s="55">
        <f>S124*U124*W124</f>
        <v>4000</v>
      </c>
      <c r="Y124" s="56">
        <f>X124-K100</f>
        <v>-2000</v>
      </c>
      <c r="Z124" s="21" t="s">
        <v>92</v>
      </c>
      <c r="AA124" s="53"/>
      <c r="AB124" s="53" t="s">
        <v>448</v>
      </c>
      <c r="AC124" s="7"/>
      <c r="AD124" s="10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107"/>
      <c r="AP124" s="7"/>
      <c r="AQ124" s="7"/>
      <c r="AR124" s="7"/>
    </row>
    <row r="125" spans="1:44">
      <c r="A125" s="10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20">
        <v>116</v>
      </c>
      <c r="O125" s="9" t="s">
        <v>113</v>
      </c>
      <c r="P125" s="9"/>
      <c r="Q125" s="9"/>
      <c r="R125" s="9"/>
      <c r="S125" s="9"/>
      <c r="T125" s="9"/>
      <c r="U125" s="9"/>
      <c r="V125" s="9"/>
      <c r="W125" s="9"/>
      <c r="X125" s="53"/>
      <c r="Y125" s="21">
        <f>K101-X125</f>
        <v>0</v>
      </c>
      <c r="Z125" s="21"/>
      <c r="AA125" s="53"/>
      <c r="AB125" s="53"/>
      <c r="AC125" s="7"/>
      <c r="AD125" s="10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107"/>
      <c r="AP125" s="7"/>
      <c r="AQ125" s="7"/>
      <c r="AR125" s="7"/>
    </row>
    <row r="126" spans="1:44">
      <c r="A126" s="10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20">
        <v>117</v>
      </c>
      <c r="O126" s="119" t="s">
        <v>434</v>
      </c>
      <c r="P126" s="37" t="s">
        <v>115</v>
      </c>
      <c r="Q126" s="37" t="s">
        <v>115</v>
      </c>
      <c r="R126" s="37" t="s">
        <v>115</v>
      </c>
      <c r="S126" s="37" t="s">
        <v>115</v>
      </c>
      <c r="T126" s="37" t="s">
        <v>115</v>
      </c>
      <c r="U126" s="37" t="s">
        <v>115</v>
      </c>
      <c r="V126" s="37" t="s">
        <v>115</v>
      </c>
      <c r="W126" s="37" t="s">
        <v>115</v>
      </c>
      <c r="X126" s="74">
        <f>SUM(X124:X125)</f>
        <v>4000</v>
      </c>
      <c r="Y126" s="75">
        <f>SUM(Y124:Y125)</f>
        <v>-2000</v>
      </c>
      <c r="Z126" s="37"/>
      <c r="AA126" s="37"/>
      <c r="AB126" s="37"/>
      <c r="AC126" s="7"/>
      <c r="AD126" s="10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07"/>
      <c r="AP126" s="7"/>
      <c r="AQ126" s="7"/>
      <c r="AR126" s="7"/>
    </row>
    <row r="127" spans="1:44">
      <c r="A127" s="10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20">
        <v>118</v>
      </c>
      <c r="O127" s="73" t="s">
        <v>435</v>
      </c>
      <c r="P127" s="26"/>
      <c r="Q127" s="26"/>
      <c r="R127" s="40"/>
      <c r="S127" s="40">
        <v>1</v>
      </c>
      <c r="T127" s="26" t="s">
        <v>119</v>
      </c>
      <c r="U127" s="26">
        <v>1</v>
      </c>
      <c r="V127" s="26" t="s">
        <v>119</v>
      </c>
      <c r="W127" s="54">
        <v>3000</v>
      </c>
      <c r="X127" s="55">
        <f>S127*U127*W127</f>
        <v>3000</v>
      </c>
      <c r="Y127" s="120">
        <f>X127-K103</f>
        <v>0</v>
      </c>
      <c r="Z127" s="21"/>
      <c r="AA127" s="53"/>
      <c r="AB127" s="53"/>
      <c r="AC127" s="7"/>
      <c r="AD127" s="10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107"/>
      <c r="AP127" s="7"/>
      <c r="AQ127" s="7"/>
      <c r="AR127" s="7"/>
    </row>
    <row r="128" spans="1:44">
      <c r="A128" s="10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20">
        <v>119</v>
      </c>
      <c r="O128" s="86"/>
      <c r="P128" s="9"/>
      <c r="Q128" s="9"/>
      <c r="R128" s="26"/>
      <c r="S128" s="26"/>
      <c r="T128" s="26"/>
      <c r="U128" s="26"/>
      <c r="V128" s="26"/>
      <c r="W128" s="62"/>
      <c r="X128" s="63"/>
      <c r="Y128" s="121"/>
      <c r="Z128" s="21"/>
      <c r="AA128" s="53"/>
      <c r="AB128" s="53"/>
      <c r="AC128" s="7"/>
      <c r="AD128" s="10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107"/>
      <c r="AP128" s="7"/>
      <c r="AQ128" s="7"/>
      <c r="AR128" s="7"/>
    </row>
    <row r="129" spans="1:44">
      <c r="A129" s="10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20">
        <v>120</v>
      </c>
      <c r="O129" s="122" t="s">
        <v>438</v>
      </c>
      <c r="P129" s="123" t="s">
        <v>115</v>
      </c>
      <c r="Q129" s="123" t="s">
        <v>115</v>
      </c>
      <c r="R129" s="123" t="s">
        <v>115</v>
      </c>
      <c r="S129" s="123" t="s">
        <v>115</v>
      </c>
      <c r="T129" s="123" t="s">
        <v>115</v>
      </c>
      <c r="U129" s="123" t="s">
        <v>115</v>
      </c>
      <c r="V129" s="123" t="s">
        <v>115</v>
      </c>
      <c r="W129" s="123" t="s">
        <v>115</v>
      </c>
      <c r="X129" s="124">
        <f>SUM(X127:X128)</f>
        <v>3000</v>
      </c>
      <c r="Y129" s="125">
        <f>SUM(Y127:Y128)</f>
        <v>0</v>
      </c>
      <c r="Z129" s="123"/>
      <c r="AA129" s="123"/>
      <c r="AB129" s="123"/>
      <c r="AC129" s="7"/>
      <c r="AD129" s="10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107"/>
      <c r="AP129" s="7"/>
      <c r="AQ129" s="7"/>
      <c r="AR129" s="7"/>
    </row>
    <row r="130" spans="1:44">
      <c r="A130" s="10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20">
        <v>121</v>
      </c>
      <c r="O130" s="60"/>
      <c r="P130" s="61"/>
      <c r="Q130" s="61"/>
      <c r="R130" s="26"/>
      <c r="S130" s="26"/>
      <c r="T130" s="26"/>
      <c r="U130" s="26"/>
      <c r="V130" s="26"/>
      <c r="W130" s="62"/>
      <c r="X130" s="63"/>
      <c r="Y130" s="88"/>
      <c r="Z130" s="60"/>
      <c r="AA130" s="90"/>
      <c r="AB130" s="65"/>
      <c r="AC130" s="7"/>
      <c r="AD130" s="10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107"/>
      <c r="AP130" s="7"/>
      <c r="AQ130" s="7"/>
      <c r="AR130" s="7"/>
    </row>
    <row r="131" spans="1:44">
      <c r="A131" s="10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20">
        <v>122</v>
      </c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21"/>
      <c r="AA131" s="90"/>
      <c r="AB131" s="65"/>
      <c r="AC131" s="107"/>
      <c r="AD131" s="10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107"/>
      <c r="AP131" s="7"/>
      <c r="AQ131" s="7"/>
      <c r="AR131" s="7"/>
    </row>
    <row r="132" spans="1:44">
      <c r="A132" s="10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20">
        <v>123</v>
      </c>
      <c r="O132" s="122" t="s">
        <v>439</v>
      </c>
      <c r="P132" s="123" t="s">
        <v>115</v>
      </c>
      <c r="Q132" s="123" t="s">
        <v>115</v>
      </c>
      <c r="R132" s="123" t="s">
        <v>115</v>
      </c>
      <c r="S132" s="123" t="s">
        <v>115</v>
      </c>
      <c r="T132" s="123" t="s">
        <v>115</v>
      </c>
      <c r="U132" s="123" t="s">
        <v>115</v>
      </c>
      <c r="V132" s="123" t="s">
        <v>115</v>
      </c>
      <c r="W132" s="123" t="s">
        <v>115</v>
      </c>
      <c r="X132" s="124">
        <f>SUM(X130:X130)</f>
        <v>0</v>
      </c>
      <c r="Y132" s="125">
        <v>0</v>
      </c>
      <c r="Z132" s="123"/>
      <c r="AA132" s="126"/>
      <c r="AB132" s="127"/>
      <c r="AC132" s="7"/>
      <c r="AD132" s="10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107"/>
      <c r="AP132" s="7"/>
      <c r="AQ132" s="7"/>
      <c r="AR132" s="7"/>
    </row>
    <row r="133" spans="1:44">
      <c r="A133" s="10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20">
        <v>124</v>
      </c>
      <c r="O133" s="128" t="s">
        <v>440</v>
      </c>
      <c r="P133" s="129" t="s">
        <v>115</v>
      </c>
      <c r="Q133" s="129" t="s">
        <v>115</v>
      </c>
      <c r="R133" s="129" t="s">
        <v>115</v>
      </c>
      <c r="S133" s="129" t="s">
        <v>115</v>
      </c>
      <c r="T133" s="129" t="s">
        <v>115</v>
      </c>
      <c r="U133" s="129" t="s">
        <v>115</v>
      </c>
      <c r="V133" s="129" t="s">
        <v>115</v>
      </c>
      <c r="W133" s="129" t="s">
        <v>115</v>
      </c>
      <c r="X133" s="130">
        <f>X132+X129+X126+X123+X116+X112+X18+X13+X10</f>
        <v>28128.705</v>
      </c>
      <c r="Y133" s="129"/>
      <c r="Z133" s="131"/>
      <c r="AA133" s="132"/>
      <c r="AB133" s="131"/>
      <c r="AC133" s="7"/>
      <c r="AD133" s="10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107"/>
      <c r="AP133" s="7"/>
      <c r="AQ133" s="7"/>
      <c r="AR133" s="7"/>
    </row>
    <row r="134" spans="1:44">
      <c r="A134" s="10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20">
        <v>125</v>
      </c>
      <c r="O134" s="128" t="s">
        <v>441</v>
      </c>
      <c r="P134" s="129" t="s">
        <v>115</v>
      </c>
      <c r="Q134" s="129" t="s">
        <v>115</v>
      </c>
      <c r="R134" s="129" t="s">
        <v>115</v>
      </c>
      <c r="S134" s="129" t="s">
        <v>115</v>
      </c>
      <c r="T134" s="129" t="s">
        <v>115</v>
      </c>
      <c r="U134" s="129" t="s">
        <v>115</v>
      </c>
      <c r="V134" s="129" t="s">
        <v>115</v>
      </c>
      <c r="W134" s="129" t="s">
        <v>115</v>
      </c>
      <c r="X134" s="130">
        <f>(X101+X93+X86)*0.9</f>
        <v>69810.4615177359</v>
      </c>
      <c r="Y134" s="129"/>
      <c r="Z134" s="131"/>
      <c r="AA134" s="132"/>
      <c r="AB134" s="131"/>
      <c r="AC134" s="7"/>
      <c r="AD134" s="10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107"/>
      <c r="AP134" s="7"/>
      <c r="AQ134" s="7"/>
      <c r="AR134" s="7"/>
    </row>
    <row r="135" spans="1:44">
      <c r="A135" s="10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20">
        <v>126</v>
      </c>
      <c r="O135" s="128" t="s">
        <v>81</v>
      </c>
      <c r="P135" s="129" t="s">
        <v>115</v>
      </c>
      <c r="Q135" s="129" t="s">
        <v>115</v>
      </c>
      <c r="R135" s="129" t="s">
        <v>115</v>
      </c>
      <c r="S135" s="129" t="s">
        <v>115</v>
      </c>
      <c r="T135" s="129" t="s">
        <v>115</v>
      </c>
      <c r="U135" s="129" t="s">
        <v>115</v>
      </c>
      <c r="V135" s="129" t="s">
        <v>115</v>
      </c>
      <c r="W135" s="133">
        <v>0.1</v>
      </c>
      <c r="X135" s="130">
        <f>(X133+X134)*0.1</f>
        <v>9793.91665177359</v>
      </c>
      <c r="Y135" s="129"/>
      <c r="Z135" s="131"/>
      <c r="AA135" s="132"/>
      <c r="AB135" s="131"/>
      <c r="AC135" s="7"/>
      <c r="AD135" s="10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107"/>
      <c r="AP135" s="7"/>
      <c r="AQ135" s="7"/>
      <c r="AR135" s="7"/>
    </row>
    <row r="136" spans="1:44">
      <c r="A136" s="10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20">
        <v>127</v>
      </c>
      <c r="O136" s="128" t="s">
        <v>82</v>
      </c>
      <c r="P136" s="129" t="s">
        <v>115</v>
      </c>
      <c r="Q136" s="129" t="s">
        <v>115</v>
      </c>
      <c r="R136" s="129" t="s">
        <v>115</v>
      </c>
      <c r="S136" s="129" t="s">
        <v>115</v>
      </c>
      <c r="T136" s="129" t="s">
        <v>115</v>
      </c>
      <c r="U136" s="129" t="s">
        <v>115</v>
      </c>
      <c r="V136" s="129" t="s">
        <v>115</v>
      </c>
      <c r="W136" s="133">
        <v>0.06</v>
      </c>
      <c r="X136" s="130">
        <f>(X133+X134+X135)*0.06</f>
        <v>6463.98499017057</v>
      </c>
      <c r="Y136" s="129"/>
      <c r="Z136" s="131"/>
      <c r="AA136" s="131"/>
      <c r="AB136" s="131"/>
      <c r="AC136" s="7"/>
      <c r="AD136" s="10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107"/>
      <c r="AP136" s="7"/>
      <c r="AQ136" s="7"/>
      <c r="AR136" s="7"/>
    </row>
    <row r="137" spans="1:44">
      <c r="A137" s="10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20">
        <v>128</v>
      </c>
      <c r="O137" s="128" t="s">
        <v>83</v>
      </c>
      <c r="P137" s="129" t="s">
        <v>115</v>
      </c>
      <c r="Q137" s="129" t="s">
        <v>115</v>
      </c>
      <c r="R137" s="129" t="s">
        <v>115</v>
      </c>
      <c r="S137" s="129" t="s">
        <v>115</v>
      </c>
      <c r="T137" s="129" t="s">
        <v>115</v>
      </c>
      <c r="U137" s="129" t="s">
        <v>115</v>
      </c>
      <c r="V137" s="129" t="s">
        <v>115</v>
      </c>
      <c r="W137" s="129" t="s">
        <v>115</v>
      </c>
      <c r="X137" s="134">
        <f>SUM(X133+X134+X135+X136)</f>
        <v>114197.06815968</v>
      </c>
      <c r="Y137" s="129"/>
      <c r="Z137" s="131"/>
      <c r="AA137" s="131"/>
      <c r="AB137" s="131"/>
      <c r="AC137" s="7"/>
      <c r="AD137" s="10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107"/>
      <c r="AP137" s="7"/>
      <c r="AQ137" s="7"/>
      <c r="AR137" s="7"/>
    </row>
    <row r="138" spans="1:44">
      <c r="A138" s="10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20">
        <v>129</v>
      </c>
      <c r="O138" s="128" t="s">
        <v>84</v>
      </c>
      <c r="P138" s="129" t="s">
        <v>115</v>
      </c>
      <c r="Q138" s="129" t="s">
        <v>115</v>
      </c>
      <c r="R138" s="129" t="s">
        <v>115</v>
      </c>
      <c r="S138" s="129" t="s">
        <v>115</v>
      </c>
      <c r="T138" s="129" t="s">
        <v>115</v>
      </c>
      <c r="U138" s="129" t="s">
        <v>115</v>
      </c>
      <c r="V138" s="129" t="s">
        <v>115</v>
      </c>
      <c r="W138" s="129" t="s">
        <v>115</v>
      </c>
      <c r="X138" s="135"/>
      <c r="Y138" s="129"/>
      <c r="Z138" s="131"/>
      <c r="AA138" s="131"/>
      <c r="AB138" s="131"/>
      <c r="AC138" s="7"/>
      <c r="AD138" s="10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107"/>
      <c r="AP138" s="7"/>
      <c r="AQ138" s="7"/>
      <c r="AR138" s="7"/>
    </row>
    <row r="139" spans="1:44">
      <c r="A139" s="10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10">
        <v>130</v>
      </c>
      <c r="O139" s="118" t="s">
        <v>444</v>
      </c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65"/>
      <c r="AA139" s="65"/>
      <c r="AB139" s="65"/>
      <c r="AC139" s="7"/>
      <c r="AD139" s="10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107"/>
      <c r="AP139" s="7"/>
      <c r="AQ139" s="7"/>
      <c r="AR139" s="7"/>
    </row>
    <row r="140" spans="1:44">
      <c r="A140" s="10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0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10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107"/>
      <c r="AP140" s="7"/>
      <c r="AQ140" s="7"/>
      <c r="AR140" s="7"/>
    </row>
    <row r="141" spans="1:44">
      <c r="A141" s="10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0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10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107"/>
      <c r="AP141" s="7"/>
      <c r="AQ141" s="7"/>
      <c r="AR141" s="7"/>
    </row>
    <row r="142" spans="1:44">
      <c r="A142" s="10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0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10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107"/>
      <c r="AP142" s="7"/>
      <c r="AQ142" s="7"/>
      <c r="AR142" s="7"/>
    </row>
    <row r="143" spans="1:44">
      <c r="A143" s="10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0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10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107"/>
      <c r="AP143" s="7"/>
      <c r="AQ143" s="7"/>
      <c r="AR143" s="7"/>
    </row>
    <row r="144" spans="1:44">
      <c r="A144" s="10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0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10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107"/>
      <c r="AP144" s="7"/>
      <c r="AQ144" s="7"/>
      <c r="AR144" s="7"/>
    </row>
    <row r="145" spans="1:44">
      <c r="A145" s="10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0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10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107"/>
      <c r="AP145" s="7"/>
      <c r="AQ145" s="7"/>
      <c r="AR145" s="7"/>
    </row>
    <row r="146" spans="1:44">
      <c r="A146" s="10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0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10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107"/>
      <c r="AP146" s="7"/>
      <c r="AQ146" s="7"/>
      <c r="AR146" s="7"/>
    </row>
    <row r="147" spans="1:44">
      <c r="A147" s="10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0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10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107"/>
      <c r="AP147" s="7"/>
      <c r="AQ147" s="7"/>
      <c r="AR147" s="7"/>
    </row>
    <row r="148" spans="1:44">
      <c r="A148" s="10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0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10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107"/>
      <c r="AP148" s="7"/>
      <c r="AQ148" s="7"/>
      <c r="AR148" s="7"/>
    </row>
    <row r="149" spans="1:44">
      <c r="A149" s="10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0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10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107"/>
      <c r="AP149" s="7"/>
      <c r="AQ149" s="7"/>
      <c r="AR149" s="7"/>
    </row>
    <row r="150" spans="1:44">
      <c r="A150" s="10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0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10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107"/>
      <c r="AP150" s="7"/>
      <c r="AQ150" s="7"/>
      <c r="AR150" s="7"/>
    </row>
    <row r="151" spans="1:44">
      <c r="A151" s="10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0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10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107"/>
      <c r="AP151" s="7"/>
      <c r="AQ151" s="7"/>
      <c r="AR151" s="7"/>
    </row>
    <row r="152" spans="1:44">
      <c r="A152" s="10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0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10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107"/>
      <c r="AP152" s="7"/>
      <c r="AQ152" s="7"/>
      <c r="AR152" s="7"/>
    </row>
    <row r="153" spans="1:44">
      <c r="A153" s="10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0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10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107"/>
      <c r="AP153" s="7"/>
      <c r="AQ153" s="7"/>
      <c r="AR153" s="7"/>
    </row>
    <row r="154" spans="1:44">
      <c r="A154" s="10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0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10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107"/>
      <c r="AP154" s="7"/>
      <c r="AQ154" s="7"/>
      <c r="AR154" s="7"/>
    </row>
    <row r="155" spans="1:44">
      <c r="A155" s="10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0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10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107"/>
      <c r="AP155" s="7"/>
      <c r="AQ155" s="7"/>
      <c r="AR155" s="7"/>
    </row>
    <row r="156" spans="1:44">
      <c r="A156" s="10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0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10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107"/>
      <c r="AP156" s="7"/>
      <c r="AQ156" s="7"/>
      <c r="AR156" s="7"/>
    </row>
    <row r="157" spans="1:44">
      <c r="A157" s="10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0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10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107"/>
      <c r="AP157" s="7"/>
      <c r="AQ157" s="7"/>
      <c r="AR157" s="7"/>
    </row>
    <row r="158" spans="1:44">
      <c r="A158" s="10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0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10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107"/>
      <c r="AP158" s="7"/>
      <c r="AQ158" s="7"/>
      <c r="AR158" s="7"/>
    </row>
    <row r="159" spans="1:44">
      <c r="A159" s="10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0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10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107"/>
      <c r="AP159" s="7"/>
      <c r="AQ159" s="7"/>
      <c r="AR159" s="7"/>
    </row>
    <row r="160" spans="1:44">
      <c r="A160" s="10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0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10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107"/>
      <c r="AP160" s="7"/>
      <c r="AQ160" s="7"/>
      <c r="AR160" s="7"/>
    </row>
    <row r="161" spans="1:44">
      <c r="A161" s="10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0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10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107"/>
      <c r="AP161" s="7"/>
      <c r="AQ161" s="7"/>
      <c r="AR161" s="7"/>
    </row>
    <row r="162" spans="1:44">
      <c r="A162" s="10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0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10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107"/>
      <c r="AP162" s="7"/>
      <c r="AQ162" s="7"/>
      <c r="AR162" s="7"/>
    </row>
    <row r="163" spans="1:44">
      <c r="A163" s="10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0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10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107"/>
      <c r="AP163" s="7"/>
      <c r="AQ163" s="7"/>
      <c r="AR163" s="7"/>
    </row>
    <row r="164" spans="1:44">
      <c r="A164" s="10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0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10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107"/>
      <c r="AP164" s="7"/>
      <c r="AQ164" s="7"/>
      <c r="AR164" s="7"/>
    </row>
    <row r="165" spans="1:44">
      <c r="A165" s="10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0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10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107"/>
      <c r="AP165" s="7"/>
      <c r="AQ165" s="7"/>
      <c r="AR165" s="7"/>
    </row>
    <row r="166" spans="1:44">
      <c r="A166" s="10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0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10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107"/>
      <c r="AP166" s="7"/>
      <c r="AQ166" s="7"/>
      <c r="AR166" s="7"/>
    </row>
    <row r="167" spans="1:44">
      <c r="A167" s="10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0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10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107"/>
      <c r="AP167" s="7"/>
      <c r="AQ167" s="7"/>
      <c r="AR167" s="7"/>
    </row>
    <row r="168" spans="1:44">
      <c r="A168" s="10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0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10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107"/>
      <c r="AP168" s="7"/>
      <c r="AQ168" s="7"/>
      <c r="AR168" s="7"/>
    </row>
    <row r="169" spans="1:44">
      <c r="A169" s="10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0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10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107"/>
      <c r="AP169" s="7"/>
      <c r="AQ169" s="7"/>
      <c r="AR169" s="7"/>
    </row>
    <row r="170" spans="1:44">
      <c r="A170" s="10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0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10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107"/>
      <c r="AP170" s="7"/>
      <c r="AQ170" s="7"/>
      <c r="AR170" s="7"/>
    </row>
    <row r="171" spans="1:44">
      <c r="A171" s="10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0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10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107"/>
      <c r="AP171" s="7"/>
      <c r="AQ171" s="7"/>
      <c r="AR171" s="7"/>
    </row>
    <row r="172" spans="1:44">
      <c r="A172" s="10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0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10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107"/>
      <c r="AP172" s="7"/>
      <c r="AQ172" s="7"/>
      <c r="AR172" s="7"/>
    </row>
    <row r="173" spans="1:44">
      <c r="A173" s="10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0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10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107"/>
      <c r="AP173" s="7"/>
      <c r="AQ173" s="7"/>
      <c r="AR173" s="7"/>
    </row>
    <row r="174" spans="1:44">
      <c r="A174" s="10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0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10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107"/>
      <c r="AP174" s="7"/>
      <c r="AQ174" s="7"/>
      <c r="AR174" s="7"/>
    </row>
    <row r="175" spans="1:44">
      <c r="A175" s="10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0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10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107"/>
      <c r="AP175" s="7"/>
      <c r="AQ175" s="7"/>
      <c r="AR175" s="7"/>
    </row>
    <row r="176" spans="1:44">
      <c r="A176" s="10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0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10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107"/>
      <c r="AP176" s="7"/>
      <c r="AQ176" s="7"/>
      <c r="AR176" s="7"/>
    </row>
    <row r="177" spans="1:44">
      <c r="A177" s="10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0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10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107"/>
      <c r="AP177" s="7"/>
      <c r="AQ177" s="7"/>
      <c r="AR177" s="7"/>
    </row>
    <row r="178" spans="1:44">
      <c r="A178" s="10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0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10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107"/>
      <c r="AP178" s="7"/>
      <c r="AQ178" s="7"/>
      <c r="AR178" s="7"/>
    </row>
    <row r="179" spans="1:44">
      <c r="A179" s="10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0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10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107"/>
      <c r="AP179" s="7"/>
      <c r="AQ179" s="7"/>
      <c r="AR179" s="7"/>
    </row>
    <row r="180" spans="1:44">
      <c r="A180" s="10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0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10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107"/>
      <c r="AP180" s="7"/>
      <c r="AQ180" s="7"/>
      <c r="AR180" s="7"/>
    </row>
    <row r="181" spans="1:44">
      <c r="A181" s="10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0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10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107"/>
      <c r="AP181" s="7"/>
      <c r="AQ181" s="7"/>
      <c r="AR181" s="7"/>
    </row>
    <row r="182" spans="1:44">
      <c r="A182" s="10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0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10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107"/>
      <c r="AP182" s="7"/>
      <c r="AQ182" s="7"/>
      <c r="AR182" s="7"/>
    </row>
    <row r="183" spans="1:44">
      <c r="A183" s="10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0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10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107"/>
      <c r="AP183" s="7"/>
      <c r="AQ183" s="7"/>
      <c r="AR183" s="7"/>
    </row>
    <row r="184" spans="1:44">
      <c r="A184" s="10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0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10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107"/>
      <c r="AP184" s="7"/>
      <c r="AQ184" s="7"/>
      <c r="AR184" s="7"/>
    </row>
    <row r="185" spans="1:44">
      <c r="A185" s="10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0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10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107"/>
      <c r="AP185" s="7"/>
      <c r="AQ185" s="7"/>
      <c r="AR185" s="7"/>
    </row>
    <row r="186" spans="1:44">
      <c r="A186" s="10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0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10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107"/>
      <c r="AP186" s="7"/>
      <c r="AQ186" s="7"/>
      <c r="AR186" s="7"/>
    </row>
    <row r="187" spans="1:44">
      <c r="A187" s="10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0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10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107"/>
      <c r="AP187" s="7"/>
      <c r="AQ187" s="7"/>
      <c r="AR187" s="7"/>
    </row>
    <row r="188" spans="1:44">
      <c r="A188" s="10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0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10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107"/>
      <c r="AP188" s="7"/>
      <c r="AQ188" s="7"/>
      <c r="AR188" s="7"/>
    </row>
    <row r="189" spans="1:44">
      <c r="A189" s="10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0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10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107"/>
      <c r="AP189" s="7"/>
      <c r="AQ189" s="7"/>
      <c r="AR189" s="7"/>
    </row>
    <row r="190" spans="1:44">
      <c r="A190" s="10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0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10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107"/>
      <c r="AP190" s="7"/>
      <c r="AQ190" s="7"/>
      <c r="AR190" s="7"/>
    </row>
    <row r="191" spans="1:44">
      <c r="A191" s="10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0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10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107"/>
      <c r="AP191" s="7"/>
      <c r="AQ191" s="7"/>
      <c r="AR191" s="7"/>
    </row>
    <row r="192" spans="1:44">
      <c r="A192" s="10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0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10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107"/>
      <c r="AP192" s="7"/>
      <c r="AQ192" s="7"/>
      <c r="AR192" s="7"/>
    </row>
    <row r="193" spans="1:44">
      <c r="A193" s="10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0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10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107"/>
      <c r="AP193" s="7"/>
      <c r="AQ193" s="7"/>
      <c r="AR193" s="7"/>
    </row>
    <row r="194" spans="1:44">
      <c r="A194" s="10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0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10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107"/>
      <c r="AP194" s="7"/>
      <c r="AQ194" s="7"/>
      <c r="AR194" s="7"/>
    </row>
    <row r="195" spans="1:44">
      <c r="A195" s="10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0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10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107"/>
      <c r="AP195" s="7"/>
      <c r="AQ195" s="7"/>
      <c r="AR195" s="7"/>
    </row>
    <row r="196" spans="1:44">
      <c r="A196" s="10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0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10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107"/>
      <c r="AP196" s="7"/>
      <c r="AQ196" s="7"/>
      <c r="AR196" s="7"/>
    </row>
    <row r="197" spans="1:44">
      <c r="A197" s="10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0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10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107"/>
      <c r="AP197" s="7"/>
      <c r="AQ197" s="7"/>
      <c r="AR197" s="7"/>
    </row>
    <row r="198" spans="1:44">
      <c r="A198" s="10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0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10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107"/>
      <c r="AP198" s="7"/>
      <c r="AQ198" s="7"/>
      <c r="AR198" s="7"/>
    </row>
    <row r="199" spans="1:44">
      <c r="A199" s="10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0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10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107"/>
      <c r="AP199" s="7"/>
      <c r="AQ199" s="7"/>
      <c r="AR199" s="7"/>
    </row>
    <row r="200" spans="1:44">
      <c r="A200" s="10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0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10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107"/>
      <c r="AP200" s="7"/>
      <c r="AQ200" s="7"/>
      <c r="AR200" s="7"/>
    </row>
    <row r="201" spans="1:44">
      <c r="A201" s="10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0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10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107"/>
      <c r="AP201" s="7"/>
      <c r="AQ201" s="7"/>
      <c r="AR201" s="7"/>
    </row>
    <row r="202" spans="1:44">
      <c r="A202" s="10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0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10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107"/>
      <c r="AP202" s="7"/>
      <c r="AQ202" s="7"/>
      <c r="AR202" s="7"/>
    </row>
    <row r="203" spans="1:44">
      <c r="A203" s="10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0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10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107"/>
      <c r="AP203" s="7"/>
      <c r="AQ203" s="7"/>
      <c r="AR203" s="7"/>
    </row>
    <row r="204" spans="1:44">
      <c r="A204" s="10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0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10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107"/>
      <c r="AP204" s="7"/>
      <c r="AQ204" s="7"/>
      <c r="AR204" s="7"/>
    </row>
    <row r="205" spans="1:44">
      <c r="A205" s="10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0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10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107"/>
      <c r="AP205" s="7"/>
      <c r="AQ205" s="7"/>
      <c r="AR205" s="7"/>
    </row>
    <row r="206" spans="1:44">
      <c r="A206" s="10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0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10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107"/>
      <c r="AP206" s="7"/>
      <c r="AQ206" s="7"/>
      <c r="AR206" s="7"/>
    </row>
    <row r="207" spans="1:44">
      <c r="A207" s="10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0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10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107"/>
      <c r="AP207" s="7"/>
      <c r="AQ207" s="7"/>
      <c r="AR207" s="7"/>
    </row>
    <row r="208" spans="1:44">
      <c r="A208" s="10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0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10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107"/>
      <c r="AP208" s="7"/>
      <c r="AQ208" s="7"/>
      <c r="AR208" s="7"/>
    </row>
    <row r="209" spans="1:44">
      <c r="A209" s="10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0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10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107"/>
      <c r="AP209" s="7"/>
      <c r="AQ209" s="7"/>
      <c r="AR209" s="7"/>
    </row>
    <row r="210" spans="1:44">
      <c r="A210" s="10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0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10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107"/>
      <c r="AP210" s="7"/>
      <c r="AQ210" s="7"/>
      <c r="AR210" s="7"/>
    </row>
    <row r="211" spans="1:44">
      <c r="A211" s="10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0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10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107"/>
      <c r="AP211" s="7"/>
      <c r="AQ211" s="7"/>
      <c r="AR211" s="7"/>
    </row>
    <row r="212" spans="1:44">
      <c r="A212" s="10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0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10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107"/>
      <c r="AP212" s="7"/>
      <c r="AQ212" s="7"/>
      <c r="AR212" s="7"/>
    </row>
    <row r="213" spans="1:44">
      <c r="A213" s="10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0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10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107"/>
      <c r="AP213" s="7"/>
      <c r="AQ213" s="7"/>
      <c r="AR213" s="7"/>
    </row>
    <row r="214" spans="1:44">
      <c r="A214" s="10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0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10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107"/>
      <c r="AP214" s="7"/>
      <c r="AQ214" s="7"/>
      <c r="AR214" s="7"/>
    </row>
    <row r="215" spans="1:44">
      <c r="A215" s="10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0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10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107"/>
      <c r="AP215" s="7"/>
      <c r="AQ215" s="7"/>
      <c r="AR215" s="7"/>
    </row>
    <row r="216" spans="1:44">
      <c r="A216" s="10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0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10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107"/>
      <c r="AP216" s="7"/>
      <c r="AQ216" s="7"/>
      <c r="AR216" s="7"/>
    </row>
    <row r="217" spans="1:44">
      <c r="A217" s="10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0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10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107"/>
      <c r="AP217" s="7"/>
      <c r="AQ217" s="7"/>
      <c r="AR217" s="7"/>
    </row>
    <row r="218" spans="1:44">
      <c r="A218" s="10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0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10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107"/>
      <c r="AP218" s="7"/>
      <c r="AQ218" s="7"/>
      <c r="AR218" s="7"/>
    </row>
    <row r="219" spans="1:44">
      <c r="A219" s="10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0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10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107"/>
      <c r="AP219" s="7"/>
      <c r="AQ219" s="7"/>
      <c r="AR219" s="7"/>
    </row>
    <row r="220" spans="1:44">
      <c r="A220" s="10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0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107"/>
    </row>
    <row r="221" spans="1:44">
      <c r="A221" s="10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0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107"/>
    </row>
    <row r="222" spans="1:44">
      <c r="A222" s="10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0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107"/>
    </row>
    <row r="223" spans="1:44">
      <c r="A223" s="10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0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107"/>
    </row>
    <row r="224" spans="1:44">
      <c r="A224" s="10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0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107"/>
    </row>
    <row r="225" spans="1:30">
      <c r="A225" s="10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0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107"/>
    </row>
    <row r="226" spans="1:30">
      <c r="A226" s="10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0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107"/>
    </row>
    <row r="227" spans="1:30">
      <c r="A227" s="10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0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107"/>
    </row>
    <row r="228" spans="1:30">
      <c r="A228" s="10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0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107"/>
    </row>
    <row r="229" spans="1:30">
      <c r="A229" s="10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0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107"/>
    </row>
    <row r="230" spans="1:30">
      <c r="A230" s="10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0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107"/>
    </row>
    <row r="231" spans="1:30">
      <c r="A231" s="10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0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107"/>
    </row>
    <row r="232" spans="1:30">
      <c r="A232" s="107"/>
      <c r="M232" s="7"/>
      <c r="N232" s="10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107"/>
    </row>
    <row r="233" spans="1:30">
      <c r="A233" s="107"/>
      <c r="M233" s="7"/>
      <c r="N233" s="10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107"/>
    </row>
    <row r="234" spans="1:30">
      <c r="A234" s="107"/>
      <c r="M234" s="7"/>
      <c r="N234" s="10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107"/>
    </row>
    <row r="235" spans="1:30">
      <c r="A235" s="107"/>
      <c r="M235" s="7"/>
      <c r="N235" s="10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107"/>
    </row>
    <row r="236" spans="1:30">
      <c r="A236" s="107"/>
      <c r="M236" s="7"/>
      <c r="N236" s="10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107"/>
    </row>
    <row r="237" spans="1:30">
      <c r="A237" s="107"/>
      <c r="M237" s="7"/>
      <c r="N237" s="10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107"/>
    </row>
    <row r="238" spans="1:30">
      <c r="A238" s="107"/>
      <c r="M238" s="7"/>
      <c r="N238" s="10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107"/>
    </row>
    <row r="239" spans="1:30">
      <c r="A239" s="107"/>
      <c r="M239" s="7"/>
      <c r="N239" s="10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107"/>
    </row>
    <row r="240" spans="1:30">
      <c r="A240" s="107"/>
      <c r="M240" s="7"/>
      <c r="N240" s="10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107"/>
    </row>
    <row r="241" spans="1:30">
      <c r="A241" s="107"/>
      <c r="M241" s="7"/>
      <c r="N241" s="10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107"/>
    </row>
    <row r="242" spans="1:30">
      <c r="N242" s="10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D242" s="107"/>
    </row>
    <row r="243" spans="1:30">
      <c r="N243" s="10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D243" s="107"/>
    </row>
    <row r="244" spans="1:30">
      <c r="N244" s="10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D244" s="107"/>
    </row>
    <row r="245" spans="1:30">
      <c r="N245" s="10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D245" s="107"/>
    </row>
    <row r="246" spans="1:30">
      <c r="N246" s="10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D246" s="107"/>
    </row>
    <row r="247" spans="1:30"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D247" s="107"/>
    </row>
    <row r="248" spans="1:30"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D248" s="107"/>
    </row>
    <row r="249" spans="1:30"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D249" s="107"/>
    </row>
    <row r="250" spans="1:30">
      <c r="AD250" s="107"/>
    </row>
  </sheetData>
  <mergeCells count="33">
    <mergeCell ref="A1:L1"/>
    <mergeCell ref="N1:AB1"/>
    <mergeCell ref="AD1:AR1"/>
    <mergeCell ref="A2:B2"/>
    <mergeCell ref="C2:L2"/>
    <mergeCell ref="N2:O2"/>
    <mergeCell ref="P2:AB2"/>
    <mergeCell ref="AD2:AE2"/>
    <mergeCell ref="AF2:AR2"/>
    <mergeCell ref="A3:B3"/>
    <mergeCell ref="C3:L3"/>
    <mergeCell ref="N3:O3"/>
    <mergeCell ref="P3:AB3"/>
    <mergeCell ref="AD3:AE3"/>
    <mergeCell ref="AF3:AR3"/>
    <mergeCell ref="A4:B4"/>
    <mergeCell ref="C4:L4"/>
    <mergeCell ref="N4:O4"/>
    <mergeCell ref="P4:AB4"/>
    <mergeCell ref="AD4:AE4"/>
    <mergeCell ref="AF4:AR4"/>
    <mergeCell ref="A5:B5"/>
    <mergeCell ref="G5:L5"/>
    <mergeCell ref="N5:O5"/>
    <mergeCell ref="T5:AB5"/>
    <mergeCell ref="AD5:AE5"/>
    <mergeCell ref="AJ5:AR5"/>
    <mergeCell ref="A6:L6"/>
    <mergeCell ref="N6:AA6"/>
    <mergeCell ref="AD6:AQ6"/>
    <mergeCell ref="AE113:AO113"/>
    <mergeCell ref="B122:L122"/>
    <mergeCell ref="O139:Y139"/>
  </mergeCells>
  <dataValidations count="2">
    <dataValidation type="list" allowBlank="1" showInputMessage="1" showErrorMessage="1" error="请输入一个列表中的值" sqref="AP55 AP58 AP70 AP96 AP99 AP102 AP8:AP9 AP11:AP12 AP14:AP15 AP86:AP87 AP89:AP91">
      <formula1>汇总页模板!$K$27:$K$30</formula1>
    </dataValidation>
    <dataValidation type="list" allowBlank="1" showInputMessage="1" showErrorMessage="1" error="请输入一个列表中的值" sqref="AP69 AP98 Z8:Z9 Z11:Z12 Z14:Z17 Z19:Z92 Z94:Z100 Z102:Z111 Z113:Z115 Z117:Z122 Z124:Z125 Z127:Z128 Z130:Z131 AP17:AP54 AP56:AP57 AP60:AP65 AP72:AP85 AP93:AP95 AP104:AP105">
      <formula1>汇总页模板!$F$27:$F$30</formula1>
    </dataValidation>
  </dataValidations>
  <hyperlinks>
    <hyperlink ref="G5" r:id="rId1" display="shirly.wang@sensel.team"/>
    <hyperlink ref="T5" r:id="rId1" display="shirly.wang@sensel.team"/>
    <hyperlink ref="AJ5" r:id="rId1" display="shirly.wang@sensel.tea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填写说明（请仔细查阅！！！）</vt:lpstr>
      <vt:lpstr>汇总页模板</vt:lpstr>
      <vt:lpstr>明细页模板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</cp:lastModifiedBy>
  <dcterms:created xsi:type="dcterms:W3CDTF">2024-08-31T16:45:00Z</dcterms:created>
  <dcterms:modified xsi:type="dcterms:W3CDTF">2025-12-25T13:51:13Z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E6617B8F5EDCB9CFD1D04C69DDD0F81C_43</vt:lpwstr>
  </property>
  <property fmtid="{D5CDD505-2E9C-101B-9397-08002B2CF9AE}" pid="4" name="CalculationRule">
    <vt:i4>0</vt:i4>
  </property>
</Properties>
</file>